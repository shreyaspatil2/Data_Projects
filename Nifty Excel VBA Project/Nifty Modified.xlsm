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2" windowHeight="7956" activeTab="3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1" hidden="1">Sheet2!$E$8:$K$8</definedName>
    <definedName name="optionKeys" localSheetId="0">Sheet1!$A$1:$W$124</definedName>
    <definedName name="optionKeys.jsp?symbolCode__9999_symbol_BANKNIFTY_symbol_BANKNIFTY_instrument_OPTIDX_date___segmentLink_17_segmentLink_17" localSheetId="2">Sheet3!$A$1:$W$173</definedName>
  </definedNames>
  <calcPr calcId="124519"/>
</workbook>
</file>

<file path=xl/calcChain.xml><?xml version="1.0" encoding="utf-8"?>
<calcChain xmlns="http://schemas.openxmlformats.org/spreadsheetml/2006/main">
  <c r="K12" i="2"/>
  <c r="J12"/>
  <c r="I12"/>
  <c r="G12"/>
  <c r="F12"/>
  <c r="E12"/>
  <c r="K10"/>
  <c r="J10"/>
  <c r="I10"/>
  <c r="G10"/>
  <c r="F10"/>
  <c r="E10"/>
  <c r="H3" i="4" l="1"/>
  <c r="G3"/>
  <c r="H19" i="2"/>
  <c r="H17"/>
  <c r="J3" i="4"/>
  <c r="I3"/>
  <c r="H21" i="2"/>
  <c r="F17"/>
  <c r="F21"/>
  <c r="N18"/>
  <c r="N16"/>
  <c r="F19"/>
  <c r="L18"/>
  <c r="L16"/>
</calcChain>
</file>

<file path=xl/connections.xml><?xml version="1.0" encoding="utf-8"?>
<connections xmlns="http://schemas.openxmlformats.org/spreadsheetml/2006/main">
  <connection id="1" interval="1" name="Connection" type="4" refreshedVersion="3" background="1" saveData="1">
    <webPr sourceData="1" parsePre="1" consecutive="1" xl2000="1" url="https://www1.nseindia.com/live_market/dynaContent/live_watch/option_chain/optionKeys.jsp"/>
  </connection>
  <connection id="2" interval="1" name="Connection1" type="4" refreshedVersion="3" background="1" saveData="1">
    <webPr sourceData="1" parsePre="1" consecutive="1" xl2000="1" url="https://www1.nseindia.com/live_market/dynaContent/live_watch/option_chain/optionKeys.jsp?symbolCode=-9999&amp;symbol=BANKNIFTY&amp;symbol=BANKNIFTY&amp;instrument=OPTIDX&amp;date=-&amp;segmentLink=17&amp;segmentLink=17"/>
  </connection>
</connections>
</file>

<file path=xl/sharedStrings.xml><?xml version="1.0" encoding="utf-8"?>
<sst xmlns="http://schemas.openxmlformats.org/spreadsheetml/2006/main" count="1606" uniqueCount="47">
  <si>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</si>
  <si>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</si>
  <si>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</si>
  <si>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</si>
  <si>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</si>
  <si>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CALLS</t>
  </si>
  <si>
    <t>PUTS</t>
  </si>
  <si>
    <t>Chart</t>
  </si>
  <si>
    <t>OI</t>
  </si>
  <si>
    <t>Chng in OI</t>
  </si>
  <si>
    <t>Volume</t>
  </si>
  <si>
    <t>IV</t>
  </si>
  <si>
    <t>LTP</t>
  </si>
  <si>
    <t>Net Chng</t>
  </si>
  <si>
    <t>Bid</t>
  </si>
  <si>
    <t>Qty</t>
  </si>
  <si>
    <t>Price</t>
  </si>
  <si>
    <t>Ask</t>
  </si>
  <si>
    <t>Strike Price</t>
  </si>
  <si>
    <t>Graph</t>
  </si>
  <si>
    <t>-</t>
  </si>
  <si>
    <t>Total</t>
  </si>
  <si>
    <t>Top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</si>
  <si>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</si>
  <si>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</si>
  <si>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</si>
  <si>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highlighted Highlighted options are in-the-money.</t>
  </si>
  <si>
    <t>Total OI</t>
  </si>
  <si>
    <t>Change in OI</t>
  </si>
  <si>
    <t>Call Data</t>
  </si>
  <si>
    <t>Change inOI</t>
  </si>
  <si>
    <t>Put Data</t>
  </si>
  <si>
    <t>Diff Change in OI</t>
  </si>
  <si>
    <t>Diff in Volume</t>
  </si>
  <si>
    <t>PCR</t>
  </si>
  <si>
    <t>NIFTY</t>
  </si>
  <si>
    <t>BANK NIFTY</t>
  </si>
  <si>
    <t>Nifty</t>
  </si>
  <si>
    <t>Bank Nifty</t>
  </si>
  <si>
    <t xml:space="preserve"> Diff in Total OI</t>
  </si>
  <si>
    <t>Nifty  Diff in Total OI</t>
  </si>
  <si>
    <t>Nifty  Diff Change in OI</t>
  </si>
  <si>
    <t>Bank Nifty Diff Change in OI</t>
  </si>
  <si>
    <t>Bank Nifty Diff in Total OI</t>
  </si>
  <si>
    <t xml:space="preserve">Underlying Index: NIFTY 13055.15  As on Nov 24, 2020 15:30:30 IST </t>
  </si>
  <si>
    <t xml:space="preserve">Underlying Index: BANKNIFTY 29737.25  As on Nov 24, 2020 15:30:30 IST </t>
  </si>
  <si>
    <t>Date and Time</t>
  </si>
</sst>
</file>

<file path=xl/styles.xml><?xml version="1.0" encoding="utf-8"?>
<styleSheet xmlns="http://schemas.openxmlformats.org/spreadsheetml/2006/main">
  <numFmts count="5">
    <numFmt numFmtId="164" formatCode="_(* #,##0.00_);_(* \(#,##0.00\);_(* &quot;-&quot;??_);_(@_)"/>
    <numFmt numFmtId="165" formatCode="_(* #,##0_);_(* \(#,##0\);_(* &quot;-&quot;??_);_(@_)"/>
    <numFmt numFmtId="166" formatCode="0.000"/>
    <numFmt numFmtId="167" formatCode="_(* #,##0.000_);_(* \(#,##0.000\);_(* &quot;-&quot;??_);_(@_)"/>
    <numFmt numFmtId="168" formatCode="m/d/yyyy\ h:mm\ AM/PM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indexed="10"/>
      <name val="Times New Roman"/>
      <family val="1"/>
    </font>
    <font>
      <b/>
      <sz val="14"/>
      <color indexed="1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left" indent="1"/>
    </xf>
    <xf numFmtId="0" fontId="2" fillId="0" borderId="0" xfId="0" applyFont="1"/>
    <xf numFmtId="166" fontId="3" fillId="0" borderId="0" xfId="0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3" fontId="0" fillId="0" borderId="0" xfId="0" applyNumberFormat="1"/>
    <xf numFmtId="4" fontId="0" fillId="0" borderId="0" xfId="0" applyNumberFormat="1"/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8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optionKeys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ptionKeys.jsp?symbolCode=-9999&amp;symbol=BANKNIFTY&amp;symbol=BANKNIFTY&amp;instrument=OPTIDX&amp;date=-&amp;segmentLink=17&amp;segmentLink=17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24"/>
  <sheetViews>
    <sheetView topLeftCell="A4" workbookViewId="0">
      <pane ySplit="6" topLeftCell="A28" activePane="bottomLeft" state="frozen"/>
      <selection activeCell="C4" sqref="C4"/>
      <selection pane="bottomLeft" activeCell="I5" sqref="I5"/>
    </sheetView>
  </sheetViews>
  <sheetFormatPr defaultColWidth="9.109375" defaultRowHeight="15.6"/>
  <cols>
    <col min="1" max="1" width="28" style="1" customWidth="1"/>
    <col min="2" max="2" width="56.88671875" style="1" customWidth="1"/>
    <col min="3" max="3" width="9.5546875" style="1" customWidth="1"/>
    <col min="4" max="4" width="8.88671875" style="1" customWidth="1"/>
    <col min="5" max="5" width="7" style="1" customWidth="1"/>
    <col min="6" max="6" width="8" style="1" customWidth="1"/>
    <col min="7" max="7" width="8.44140625" style="8" customWidth="1"/>
    <col min="8" max="8" width="6.44140625" style="1" customWidth="1"/>
    <col min="9" max="10" width="8" style="1" customWidth="1"/>
    <col min="11" max="11" width="6.44140625" style="1" customWidth="1"/>
    <col min="12" max="12" width="11.21875" style="5" customWidth="1"/>
    <col min="13" max="13" width="6.44140625" style="1" customWidth="1"/>
    <col min="14" max="16" width="5.44140625" style="1" customWidth="1"/>
    <col min="17" max="17" width="8.44140625" style="1" customWidth="1"/>
    <col min="18" max="18" width="5" style="1" customWidth="1"/>
    <col min="19" max="19" width="4" style="1" customWidth="1"/>
    <col min="20" max="20" width="8.88671875" style="1" customWidth="1"/>
    <col min="21" max="21" width="9.21875" style="1" customWidth="1"/>
    <col min="22" max="22" width="10.33203125" style="1" customWidth="1"/>
    <col min="23" max="23" width="5.88671875" style="1" customWidth="1"/>
    <col min="24" max="16384" width="9.109375" style="1"/>
  </cols>
  <sheetData>
    <row r="1" spans="1:23">
      <c r="A1" s="1" t="s">
        <v>0</v>
      </c>
      <c r="B1" s="1" t="s">
        <v>44</v>
      </c>
    </row>
    <row r="2" spans="1:23">
      <c r="A2" s="1" t="s">
        <v>1</v>
      </c>
    </row>
    <row r="3" spans="1:23">
      <c r="A3" s="1" t="s">
        <v>2</v>
      </c>
    </row>
    <row r="4" spans="1:23">
      <c r="A4" s="1" t="s">
        <v>3</v>
      </c>
    </row>
    <row r="5" spans="1:23">
      <c r="A5" s="1" t="s">
        <v>4</v>
      </c>
    </row>
    <row r="8" spans="1:23">
      <c r="A8" s="1" t="s">
        <v>5</v>
      </c>
      <c r="M8" s="1" t="s">
        <v>6</v>
      </c>
    </row>
    <row r="9" spans="1:23">
      <c r="A9" s="1" t="s">
        <v>7</v>
      </c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  <c r="G9" s="8" t="s">
        <v>13</v>
      </c>
      <c r="H9" s="1" t="s">
        <v>14</v>
      </c>
      <c r="I9" s="1" t="s">
        <v>14</v>
      </c>
      <c r="J9" s="1" t="s">
        <v>17</v>
      </c>
      <c r="K9" s="1" t="s">
        <v>17</v>
      </c>
      <c r="L9" s="5" t="s">
        <v>18</v>
      </c>
      <c r="M9" s="1" t="s">
        <v>14</v>
      </c>
      <c r="N9" s="1" t="s">
        <v>14</v>
      </c>
      <c r="O9" s="1" t="s">
        <v>17</v>
      </c>
      <c r="P9" s="1" t="s">
        <v>17</v>
      </c>
      <c r="Q9" s="1" t="s">
        <v>13</v>
      </c>
      <c r="R9" s="1" t="s">
        <v>12</v>
      </c>
      <c r="S9" s="1" t="s">
        <v>11</v>
      </c>
      <c r="T9" s="1" t="s">
        <v>10</v>
      </c>
      <c r="U9" s="1" t="s">
        <v>9</v>
      </c>
      <c r="V9" s="1" t="s">
        <v>8</v>
      </c>
      <c r="W9" s="1" t="s">
        <v>7</v>
      </c>
    </row>
    <row r="10" spans="1:23">
      <c r="H10" s="1" t="s">
        <v>15</v>
      </c>
      <c r="I10" s="1" t="s">
        <v>16</v>
      </c>
      <c r="J10" s="1" t="s">
        <v>16</v>
      </c>
      <c r="K10" s="1" t="s">
        <v>15</v>
      </c>
      <c r="M10" s="1" t="s">
        <v>15</v>
      </c>
      <c r="N10" s="1" t="s">
        <v>16</v>
      </c>
      <c r="O10" s="1" t="s">
        <v>16</v>
      </c>
      <c r="P10" s="1" t="s">
        <v>15</v>
      </c>
    </row>
    <row r="11" spans="1:23">
      <c r="A11" s="1" t="s">
        <v>19</v>
      </c>
      <c r="B11" s="2">
        <v>2925</v>
      </c>
      <c r="C11" s="1">
        <v>-300</v>
      </c>
      <c r="D11" s="1">
        <v>5</v>
      </c>
      <c r="E11" s="1" t="s">
        <v>20</v>
      </c>
      <c r="F11" s="3">
        <v>3761.95</v>
      </c>
      <c r="G11" s="14">
        <v>301.95</v>
      </c>
      <c r="H11" s="2">
        <v>75</v>
      </c>
      <c r="I11" s="3">
        <v>3759.45</v>
      </c>
      <c r="J11" s="2">
        <v>3780.95</v>
      </c>
      <c r="K11" s="2">
        <v>75</v>
      </c>
      <c r="L11" s="6">
        <v>9300</v>
      </c>
      <c r="M11" s="2">
        <v>75</v>
      </c>
      <c r="N11" s="2">
        <v>0.9</v>
      </c>
      <c r="O11" s="2">
        <v>1</v>
      </c>
      <c r="P11" s="2">
        <v>4950</v>
      </c>
      <c r="Q11" s="2">
        <v>0.35</v>
      </c>
      <c r="R11" s="2">
        <v>0.95</v>
      </c>
      <c r="S11" s="2">
        <v>152.09</v>
      </c>
      <c r="T11" s="2">
        <v>9442</v>
      </c>
      <c r="U11" s="2">
        <v>149925</v>
      </c>
      <c r="V11" s="2">
        <v>409575</v>
      </c>
      <c r="W11" s="2" t="s">
        <v>19</v>
      </c>
    </row>
    <row r="12" spans="1:23">
      <c r="A12" s="1" t="s">
        <v>19</v>
      </c>
      <c r="B12" s="2" t="s">
        <v>20</v>
      </c>
      <c r="C12" s="1" t="s">
        <v>20</v>
      </c>
      <c r="D12" s="1" t="s">
        <v>20</v>
      </c>
      <c r="E12" s="1" t="s">
        <v>20</v>
      </c>
      <c r="F12" s="3" t="s">
        <v>20</v>
      </c>
      <c r="G12" s="8" t="s">
        <v>20</v>
      </c>
      <c r="H12" s="2">
        <v>375</v>
      </c>
      <c r="I12" s="3">
        <v>3622.1</v>
      </c>
      <c r="J12" s="2">
        <v>3790.35</v>
      </c>
      <c r="K12" s="2">
        <v>450</v>
      </c>
      <c r="L12" s="6">
        <v>9350</v>
      </c>
      <c r="M12" s="2">
        <v>2400</v>
      </c>
      <c r="N12" s="2">
        <v>0.8</v>
      </c>
      <c r="O12" s="2">
        <v>0.9</v>
      </c>
      <c r="P12" s="2">
        <v>1050</v>
      </c>
      <c r="Q12" s="2">
        <v>0.2</v>
      </c>
      <c r="R12" s="2">
        <v>0.85</v>
      </c>
      <c r="S12" s="2" t="s">
        <v>20</v>
      </c>
      <c r="T12" s="2">
        <v>90</v>
      </c>
      <c r="U12" s="2">
        <v>75</v>
      </c>
      <c r="V12" s="2">
        <v>1500</v>
      </c>
      <c r="W12" s="2" t="s">
        <v>19</v>
      </c>
    </row>
    <row r="13" spans="1:23">
      <c r="A13" s="1" t="s">
        <v>19</v>
      </c>
      <c r="B13" s="2">
        <v>24600</v>
      </c>
      <c r="C13" s="2">
        <v>-2250</v>
      </c>
      <c r="D13" s="1">
        <v>46</v>
      </c>
      <c r="E13" s="1" t="s">
        <v>20</v>
      </c>
      <c r="F13" s="3">
        <v>3660</v>
      </c>
      <c r="G13" s="8">
        <v>97.45</v>
      </c>
      <c r="H13" s="2">
        <v>75</v>
      </c>
      <c r="I13" s="3">
        <v>3657.95</v>
      </c>
      <c r="J13" s="2">
        <v>3721.35</v>
      </c>
      <c r="K13" s="2">
        <v>75</v>
      </c>
      <c r="L13" s="6">
        <v>9400</v>
      </c>
      <c r="M13" s="2">
        <v>2400</v>
      </c>
      <c r="N13" s="2">
        <v>0.85</v>
      </c>
      <c r="O13" s="2">
        <v>1.1000000000000001</v>
      </c>
      <c r="P13" s="2">
        <v>2475</v>
      </c>
      <c r="Q13" s="2">
        <v>0.5</v>
      </c>
      <c r="R13" s="2">
        <v>1.1000000000000001</v>
      </c>
      <c r="S13" s="2" t="s">
        <v>20</v>
      </c>
      <c r="T13" s="2">
        <v>3449</v>
      </c>
      <c r="U13" s="2">
        <v>41775</v>
      </c>
      <c r="V13" s="2">
        <v>89775</v>
      </c>
      <c r="W13" s="2" t="s">
        <v>19</v>
      </c>
    </row>
    <row r="14" spans="1:23">
      <c r="A14" s="1" t="s">
        <v>19</v>
      </c>
      <c r="B14" s="2" t="s">
        <v>20</v>
      </c>
      <c r="C14" s="1" t="s">
        <v>20</v>
      </c>
      <c r="D14" s="1" t="s">
        <v>20</v>
      </c>
      <c r="E14" s="1" t="s">
        <v>20</v>
      </c>
      <c r="F14" s="3" t="s">
        <v>20</v>
      </c>
      <c r="G14" s="8" t="s">
        <v>20</v>
      </c>
      <c r="H14" s="2">
        <v>1500</v>
      </c>
      <c r="I14" s="3">
        <v>3523.55</v>
      </c>
      <c r="J14" s="3">
        <v>3694.85</v>
      </c>
      <c r="K14" s="2">
        <v>450</v>
      </c>
      <c r="L14" s="6">
        <v>9450</v>
      </c>
      <c r="M14" s="2">
        <v>1800</v>
      </c>
      <c r="N14" s="2">
        <v>0.4</v>
      </c>
      <c r="O14" s="2">
        <v>1.3</v>
      </c>
      <c r="P14" s="2">
        <v>3000</v>
      </c>
      <c r="Q14" s="2">
        <v>-1.1000000000000001</v>
      </c>
      <c r="R14" s="2">
        <v>0.9</v>
      </c>
      <c r="S14" s="2" t="s">
        <v>20</v>
      </c>
      <c r="T14" s="2">
        <v>66</v>
      </c>
      <c r="U14" s="2">
        <v>1800</v>
      </c>
      <c r="V14" s="2">
        <v>1800</v>
      </c>
      <c r="W14" s="2" t="s">
        <v>19</v>
      </c>
    </row>
    <row r="15" spans="1:23">
      <c r="A15" s="1" t="s">
        <v>19</v>
      </c>
      <c r="B15" s="2">
        <v>238050</v>
      </c>
      <c r="C15" s="2">
        <v>-2475</v>
      </c>
      <c r="D15" s="2">
        <v>449</v>
      </c>
      <c r="E15" s="1" t="s">
        <v>20</v>
      </c>
      <c r="F15" s="3">
        <v>3551.1</v>
      </c>
      <c r="G15" s="8">
        <v>120.1</v>
      </c>
      <c r="H15" s="2">
        <v>375</v>
      </c>
      <c r="I15" s="3">
        <v>3571.3</v>
      </c>
      <c r="J15" s="2">
        <v>3588.05</v>
      </c>
      <c r="K15" s="2">
        <v>375</v>
      </c>
      <c r="L15" s="6">
        <v>9500</v>
      </c>
      <c r="M15" s="2">
        <v>900</v>
      </c>
      <c r="N15" s="2">
        <v>0.9</v>
      </c>
      <c r="O15" s="2">
        <v>1</v>
      </c>
      <c r="P15" s="2">
        <v>4725</v>
      </c>
      <c r="Q15" s="2">
        <v>0.35</v>
      </c>
      <c r="R15" s="2">
        <v>1</v>
      </c>
      <c r="S15" s="2">
        <v>144.35</v>
      </c>
      <c r="T15" s="2">
        <v>2713</v>
      </c>
      <c r="U15" s="2">
        <v>78375</v>
      </c>
      <c r="V15" s="2">
        <v>476025</v>
      </c>
      <c r="W15" s="2" t="s">
        <v>19</v>
      </c>
    </row>
    <row r="16" spans="1:23">
      <c r="A16" s="1" t="s">
        <v>19</v>
      </c>
      <c r="B16" s="2" t="s">
        <v>20</v>
      </c>
      <c r="C16" s="1" t="s">
        <v>20</v>
      </c>
      <c r="D16" s="1" t="s">
        <v>20</v>
      </c>
      <c r="E16" s="1" t="s">
        <v>20</v>
      </c>
      <c r="F16" s="3" t="s">
        <v>20</v>
      </c>
      <c r="G16" s="8" t="s">
        <v>20</v>
      </c>
      <c r="H16" s="2">
        <v>375</v>
      </c>
      <c r="I16" s="3">
        <v>3310.15</v>
      </c>
      <c r="J16" s="3">
        <v>3598.7</v>
      </c>
      <c r="K16" s="2">
        <v>375</v>
      </c>
      <c r="L16" s="6">
        <v>9550</v>
      </c>
      <c r="M16" s="2">
        <v>900</v>
      </c>
      <c r="N16" s="2">
        <v>0.75</v>
      </c>
      <c r="O16" s="2">
        <v>1.2</v>
      </c>
      <c r="P16" s="2">
        <v>3000</v>
      </c>
      <c r="Q16" s="2">
        <v>0.25</v>
      </c>
      <c r="R16" s="2">
        <v>0.9</v>
      </c>
      <c r="S16" s="2" t="s">
        <v>20</v>
      </c>
      <c r="T16" s="2">
        <v>3</v>
      </c>
      <c r="U16" s="2">
        <v>150</v>
      </c>
      <c r="V16" s="2">
        <v>3000</v>
      </c>
      <c r="W16" s="2" t="s">
        <v>19</v>
      </c>
    </row>
    <row r="17" spans="1:23">
      <c r="A17" s="1" t="s">
        <v>19</v>
      </c>
      <c r="B17" s="2">
        <v>8925</v>
      </c>
      <c r="C17" s="2">
        <v>-300</v>
      </c>
      <c r="D17" s="1">
        <v>6</v>
      </c>
      <c r="E17" s="1" t="s">
        <v>20</v>
      </c>
      <c r="F17" s="3">
        <v>3460</v>
      </c>
      <c r="G17" s="8">
        <v>180</v>
      </c>
      <c r="H17" s="2">
        <v>75</v>
      </c>
      <c r="I17" s="3">
        <v>3454.3</v>
      </c>
      <c r="J17" s="2">
        <v>3498.4</v>
      </c>
      <c r="K17" s="2">
        <v>75</v>
      </c>
      <c r="L17" s="6">
        <v>9600</v>
      </c>
      <c r="M17" s="2">
        <v>1425</v>
      </c>
      <c r="N17" s="2">
        <v>0.7</v>
      </c>
      <c r="O17" s="2">
        <v>1.1000000000000001</v>
      </c>
      <c r="P17" s="2">
        <v>2400</v>
      </c>
      <c r="Q17" s="2">
        <v>-0.1</v>
      </c>
      <c r="R17" s="2">
        <v>0.7</v>
      </c>
      <c r="S17" s="2">
        <v>146.41999999999999</v>
      </c>
      <c r="T17" s="2">
        <v>3694</v>
      </c>
      <c r="U17" s="2">
        <v>975</v>
      </c>
      <c r="V17" s="2">
        <v>15300</v>
      </c>
      <c r="W17" s="2" t="s">
        <v>19</v>
      </c>
    </row>
    <row r="18" spans="1:23">
      <c r="A18" s="1" t="s">
        <v>19</v>
      </c>
      <c r="B18" s="2" t="s">
        <v>20</v>
      </c>
      <c r="C18" s="1" t="s">
        <v>20</v>
      </c>
      <c r="D18" s="1" t="s">
        <v>20</v>
      </c>
      <c r="E18" s="1" t="s">
        <v>20</v>
      </c>
      <c r="F18" s="3" t="s">
        <v>20</v>
      </c>
      <c r="G18" s="8" t="s">
        <v>20</v>
      </c>
      <c r="H18" s="2">
        <v>4875</v>
      </c>
      <c r="I18" s="3">
        <v>3225.3</v>
      </c>
      <c r="J18" s="3">
        <v>3545.5</v>
      </c>
      <c r="K18" s="2">
        <v>450</v>
      </c>
      <c r="L18" s="6">
        <v>9650</v>
      </c>
      <c r="M18" s="2">
        <v>2325</v>
      </c>
      <c r="N18" s="2">
        <v>0.3</v>
      </c>
      <c r="O18" s="2">
        <v>0.9</v>
      </c>
      <c r="P18" s="2">
        <v>75</v>
      </c>
      <c r="Q18" s="2">
        <v>-1.75</v>
      </c>
      <c r="R18" s="2">
        <v>0.8</v>
      </c>
      <c r="S18" s="2" t="s">
        <v>20</v>
      </c>
      <c r="T18" s="2">
        <v>3</v>
      </c>
      <c r="U18" s="2">
        <v>75</v>
      </c>
      <c r="V18" s="2">
        <v>75</v>
      </c>
      <c r="W18" s="2" t="s">
        <v>19</v>
      </c>
    </row>
    <row r="19" spans="1:23">
      <c r="A19" s="1" t="s">
        <v>19</v>
      </c>
      <c r="B19" s="2">
        <v>3000</v>
      </c>
      <c r="C19" s="2">
        <v>-450</v>
      </c>
      <c r="D19" s="1">
        <v>8</v>
      </c>
      <c r="E19" s="1" t="s">
        <v>20</v>
      </c>
      <c r="F19" s="3">
        <v>3345</v>
      </c>
      <c r="G19" s="14">
        <v>144.05000000000001</v>
      </c>
      <c r="H19" s="2">
        <v>75</v>
      </c>
      <c r="I19" s="3">
        <v>3359.4</v>
      </c>
      <c r="J19" s="3">
        <v>3394.65</v>
      </c>
      <c r="K19" s="2">
        <v>75</v>
      </c>
      <c r="L19" s="6">
        <v>9700</v>
      </c>
      <c r="M19" s="2">
        <v>75</v>
      </c>
      <c r="N19" s="2">
        <v>0.85</v>
      </c>
      <c r="O19" s="2">
        <v>1.1000000000000001</v>
      </c>
      <c r="P19" s="2">
        <v>75</v>
      </c>
      <c r="Q19" s="2">
        <v>0.1</v>
      </c>
      <c r="R19" s="2">
        <v>0.95</v>
      </c>
      <c r="S19" s="2" t="s">
        <v>20</v>
      </c>
      <c r="T19" s="2">
        <v>1973</v>
      </c>
      <c r="U19" s="2">
        <v>1650</v>
      </c>
      <c r="V19" s="2">
        <v>11250</v>
      </c>
      <c r="W19" s="2" t="s">
        <v>19</v>
      </c>
    </row>
    <row r="20" spans="1:23">
      <c r="A20" s="1" t="s">
        <v>19</v>
      </c>
      <c r="B20" s="2" t="s">
        <v>20</v>
      </c>
      <c r="C20" s="1" t="s">
        <v>20</v>
      </c>
      <c r="D20" s="1" t="s">
        <v>20</v>
      </c>
      <c r="E20" s="1" t="s">
        <v>20</v>
      </c>
      <c r="F20" s="3" t="s">
        <v>20</v>
      </c>
      <c r="G20" s="8" t="s">
        <v>20</v>
      </c>
      <c r="H20" s="2">
        <v>450</v>
      </c>
      <c r="I20" s="3">
        <v>3131.85</v>
      </c>
      <c r="J20" s="3">
        <v>3426.85</v>
      </c>
      <c r="K20" s="2">
        <v>450</v>
      </c>
      <c r="L20" s="6">
        <v>9750</v>
      </c>
      <c r="M20" s="2">
        <v>75</v>
      </c>
      <c r="N20" s="2">
        <v>0.4</v>
      </c>
      <c r="O20" s="2">
        <v>0.95</v>
      </c>
      <c r="P20" s="2">
        <v>75</v>
      </c>
      <c r="Q20" s="2">
        <v>0.1</v>
      </c>
      <c r="R20" s="2">
        <v>0.9</v>
      </c>
      <c r="S20" s="2" t="s">
        <v>20</v>
      </c>
      <c r="T20" s="2">
        <v>32</v>
      </c>
      <c r="U20" s="2">
        <v>2400</v>
      </c>
      <c r="V20" s="2">
        <v>2475</v>
      </c>
      <c r="W20" s="2" t="s">
        <v>19</v>
      </c>
    </row>
    <row r="21" spans="1:23">
      <c r="A21" s="1" t="s">
        <v>19</v>
      </c>
      <c r="B21" s="2">
        <v>14550</v>
      </c>
      <c r="C21" s="2">
        <v>-375</v>
      </c>
      <c r="D21" s="1">
        <v>6</v>
      </c>
      <c r="E21" s="1" t="s">
        <v>20</v>
      </c>
      <c r="F21" s="3">
        <v>3250</v>
      </c>
      <c r="G21" s="8">
        <v>112</v>
      </c>
      <c r="H21" s="2">
        <v>75</v>
      </c>
      <c r="I21" s="3">
        <v>3254.7</v>
      </c>
      <c r="J21" s="3">
        <v>3281.05</v>
      </c>
      <c r="K21" s="2">
        <v>75</v>
      </c>
      <c r="L21" s="6">
        <v>9800</v>
      </c>
      <c r="M21" s="2">
        <v>75</v>
      </c>
      <c r="N21" s="2">
        <v>0.75</v>
      </c>
      <c r="O21" s="2">
        <v>1.05</v>
      </c>
      <c r="P21" s="2">
        <v>1500</v>
      </c>
      <c r="Q21" s="2">
        <v>0.15</v>
      </c>
      <c r="R21" s="2">
        <v>0.95</v>
      </c>
      <c r="S21" s="2">
        <v>128.80000000000001</v>
      </c>
      <c r="T21" s="2">
        <v>899</v>
      </c>
      <c r="U21" s="2">
        <v>2175</v>
      </c>
      <c r="V21" s="2">
        <v>24000</v>
      </c>
      <c r="W21" s="2" t="s">
        <v>19</v>
      </c>
    </row>
    <row r="22" spans="1:23">
      <c r="A22" s="1" t="s">
        <v>19</v>
      </c>
      <c r="B22" s="1" t="s">
        <v>20</v>
      </c>
      <c r="C22" s="1" t="s">
        <v>20</v>
      </c>
      <c r="D22" s="1" t="s">
        <v>20</v>
      </c>
      <c r="E22" s="1" t="s">
        <v>20</v>
      </c>
      <c r="F22" s="3" t="s">
        <v>20</v>
      </c>
      <c r="G22" s="8" t="s">
        <v>20</v>
      </c>
      <c r="H22" s="2">
        <v>450</v>
      </c>
      <c r="I22" s="3">
        <v>3038.2</v>
      </c>
      <c r="J22" s="3">
        <v>3288.3</v>
      </c>
      <c r="K22" s="2">
        <v>375</v>
      </c>
      <c r="L22" s="5">
        <v>9850</v>
      </c>
      <c r="M22" s="2">
        <v>1950</v>
      </c>
      <c r="N22" s="1">
        <v>0.6</v>
      </c>
      <c r="O22" s="1">
        <v>1.1499999999999999</v>
      </c>
      <c r="P22" s="2">
        <v>2250</v>
      </c>
      <c r="Q22" s="1">
        <v>0.5</v>
      </c>
      <c r="R22" s="1">
        <v>1.1499999999999999</v>
      </c>
      <c r="S22" s="1" t="s">
        <v>20</v>
      </c>
      <c r="T22" s="2">
        <v>148</v>
      </c>
      <c r="U22" s="2">
        <v>9675</v>
      </c>
      <c r="V22" s="2">
        <v>10200</v>
      </c>
      <c r="W22" s="1" t="s">
        <v>19</v>
      </c>
    </row>
    <row r="23" spans="1:23">
      <c r="A23" s="1" t="s">
        <v>19</v>
      </c>
      <c r="B23" s="2">
        <v>5475</v>
      </c>
      <c r="C23" s="2" t="s">
        <v>20</v>
      </c>
      <c r="D23" s="1" t="s">
        <v>20</v>
      </c>
      <c r="E23" s="1" t="s">
        <v>20</v>
      </c>
      <c r="F23" s="3" t="s">
        <v>20</v>
      </c>
      <c r="G23" s="8" t="s">
        <v>20</v>
      </c>
      <c r="H23" s="2">
        <v>75</v>
      </c>
      <c r="I23" s="3">
        <v>3142.4</v>
      </c>
      <c r="J23" s="3">
        <v>3194.05</v>
      </c>
      <c r="K23" s="2">
        <v>75</v>
      </c>
      <c r="L23" s="6">
        <v>9900</v>
      </c>
      <c r="M23" s="2">
        <v>1125</v>
      </c>
      <c r="N23" s="2">
        <v>1</v>
      </c>
      <c r="O23" s="2">
        <v>1.1499999999999999</v>
      </c>
      <c r="P23" s="2">
        <v>75</v>
      </c>
      <c r="Q23" s="2">
        <v>0.2</v>
      </c>
      <c r="R23" s="2">
        <v>1</v>
      </c>
      <c r="S23" s="2">
        <v>125.7</v>
      </c>
      <c r="T23" s="2">
        <v>1387</v>
      </c>
      <c r="U23" s="2">
        <v>5625</v>
      </c>
      <c r="V23" s="2">
        <v>90225</v>
      </c>
      <c r="W23" s="2" t="s">
        <v>19</v>
      </c>
    </row>
    <row r="24" spans="1:23">
      <c r="A24" s="1" t="s">
        <v>19</v>
      </c>
      <c r="B24" s="2" t="s">
        <v>20</v>
      </c>
      <c r="C24" s="1" t="s">
        <v>20</v>
      </c>
      <c r="D24" s="1" t="s">
        <v>20</v>
      </c>
      <c r="E24" s="1" t="s">
        <v>20</v>
      </c>
      <c r="F24" s="3" t="s">
        <v>20</v>
      </c>
      <c r="G24" s="8" t="s">
        <v>20</v>
      </c>
      <c r="H24" s="2">
        <v>1500</v>
      </c>
      <c r="I24" s="3">
        <v>3021.75</v>
      </c>
      <c r="J24" s="3">
        <v>3242.2</v>
      </c>
      <c r="K24" s="2">
        <v>450</v>
      </c>
      <c r="L24" s="6">
        <v>9950</v>
      </c>
      <c r="M24" s="2">
        <v>150</v>
      </c>
      <c r="N24" s="2">
        <v>0.6</v>
      </c>
      <c r="O24" s="2">
        <v>1</v>
      </c>
      <c r="P24" s="2">
        <v>1050</v>
      </c>
      <c r="Q24" s="2">
        <v>0.3</v>
      </c>
      <c r="R24" s="2">
        <v>1.1499999999999999</v>
      </c>
      <c r="S24" s="2" t="s">
        <v>20</v>
      </c>
      <c r="T24" s="2">
        <v>13</v>
      </c>
      <c r="U24" s="2">
        <v>300</v>
      </c>
      <c r="V24" s="2">
        <v>750</v>
      </c>
      <c r="W24" s="2" t="s">
        <v>19</v>
      </c>
    </row>
    <row r="25" spans="1:23">
      <c r="A25" s="1" t="s">
        <v>19</v>
      </c>
      <c r="B25" s="2">
        <v>249150</v>
      </c>
      <c r="C25" s="2">
        <v>-39000</v>
      </c>
      <c r="D25" s="2">
        <v>1081</v>
      </c>
      <c r="E25" s="1" t="s">
        <v>20</v>
      </c>
      <c r="F25" s="3">
        <v>3083</v>
      </c>
      <c r="G25" s="14">
        <v>144.55000000000001</v>
      </c>
      <c r="H25" s="2">
        <v>150</v>
      </c>
      <c r="I25" s="3">
        <v>3078.3</v>
      </c>
      <c r="J25" s="2">
        <v>3085.9</v>
      </c>
      <c r="K25" s="2">
        <v>375</v>
      </c>
      <c r="L25" s="6">
        <v>10000</v>
      </c>
      <c r="M25" s="2">
        <v>2325</v>
      </c>
      <c r="N25" s="2">
        <v>1.05</v>
      </c>
      <c r="O25" s="2">
        <v>1.1499999999999999</v>
      </c>
      <c r="P25" s="2">
        <v>4575</v>
      </c>
      <c r="Q25" s="2">
        <v>0.3</v>
      </c>
      <c r="R25" s="2">
        <v>1.1499999999999999</v>
      </c>
      <c r="S25" s="2">
        <v>124.37</v>
      </c>
      <c r="T25" s="2">
        <v>6945</v>
      </c>
      <c r="U25" s="2">
        <v>94125</v>
      </c>
      <c r="V25" s="2">
        <v>1225875</v>
      </c>
      <c r="W25" s="2" t="s">
        <v>19</v>
      </c>
    </row>
    <row r="26" spans="1:23">
      <c r="A26" s="1" t="s">
        <v>19</v>
      </c>
      <c r="B26" s="2">
        <v>75</v>
      </c>
      <c r="C26" s="1" t="s">
        <v>20</v>
      </c>
      <c r="D26" s="1" t="s">
        <v>20</v>
      </c>
      <c r="E26" s="1" t="s">
        <v>20</v>
      </c>
      <c r="F26" s="3" t="s">
        <v>20</v>
      </c>
      <c r="G26" s="8" t="s">
        <v>20</v>
      </c>
      <c r="H26" s="2">
        <v>75</v>
      </c>
      <c r="I26" s="3">
        <v>2934.6</v>
      </c>
      <c r="J26" s="3">
        <v>3086.05</v>
      </c>
      <c r="K26" s="2">
        <v>525</v>
      </c>
      <c r="L26" s="6">
        <v>10050</v>
      </c>
      <c r="M26" s="2">
        <v>2400</v>
      </c>
      <c r="N26" s="2">
        <v>0.55000000000000004</v>
      </c>
      <c r="O26" s="2">
        <v>1.4</v>
      </c>
      <c r="P26" s="2">
        <v>1425</v>
      </c>
      <c r="Q26" s="2">
        <v>0.95</v>
      </c>
      <c r="R26" s="2">
        <v>1.4</v>
      </c>
      <c r="S26" s="2" t="s">
        <v>20</v>
      </c>
      <c r="T26" s="2">
        <v>13</v>
      </c>
      <c r="U26" s="2">
        <v>300</v>
      </c>
      <c r="V26" s="2">
        <v>32700</v>
      </c>
      <c r="W26" s="2" t="s">
        <v>19</v>
      </c>
    </row>
    <row r="27" spans="1:23">
      <c r="A27" s="1" t="s">
        <v>19</v>
      </c>
      <c r="B27" s="2">
        <v>20625</v>
      </c>
      <c r="C27" s="2">
        <v>-75</v>
      </c>
      <c r="D27" s="1">
        <v>5</v>
      </c>
      <c r="E27" s="1" t="s">
        <v>20</v>
      </c>
      <c r="F27" s="3">
        <v>2956</v>
      </c>
      <c r="G27" s="8">
        <v>124</v>
      </c>
      <c r="H27" s="2">
        <v>75</v>
      </c>
      <c r="I27" s="3">
        <v>2925.4</v>
      </c>
      <c r="J27" s="2">
        <v>3054.7</v>
      </c>
      <c r="K27" s="2">
        <v>75</v>
      </c>
      <c r="L27" s="6">
        <v>10100</v>
      </c>
      <c r="M27" s="2">
        <v>4650</v>
      </c>
      <c r="N27" s="2">
        <v>1</v>
      </c>
      <c r="O27" s="2">
        <v>1.1000000000000001</v>
      </c>
      <c r="P27" s="2">
        <v>1500</v>
      </c>
      <c r="Q27" s="2">
        <v>0.15</v>
      </c>
      <c r="R27" s="2">
        <v>1</v>
      </c>
      <c r="S27" s="2" t="s">
        <v>20</v>
      </c>
      <c r="T27" s="2">
        <v>635</v>
      </c>
      <c r="U27" s="2">
        <v>-1500</v>
      </c>
      <c r="V27" s="2">
        <v>59400</v>
      </c>
      <c r="W27" s="2" t="s">
        <v>19</v>
      </c>
    </row>
    <row r="28" spans="1:23">
      <c r="A28" s="1" t="s">
        <v>19</v>
      </c>
      <c r="B28" s="2" t="s">
        <v>20</v>
      </c>
      <c r="C28" s="1" t="s">
        <v>20</v>
      </c>
      <c r="D28" s="1" t="s">
        <v>20</v>
      </c>
      <c r="E28" s="1" t="s">
        <v>20</v>
      </c>
      <c r="F28" s="3" t="s">
        <v>20</v>
      </c>
      <c r="G28" s="8" t="s">
        <v>20</v>
      </c>
      <c r="H28" s="2">
        <v>75</v>
      </c>
      <c r="I28" s="3">
        <v>2897.25</v>
      </c>
      <c r="J28" s="3">
        <v>2959.85</v>
      </c>
      <c r="K28" s="2">
        <v>75</v>
      </c>
      <c r="L28" s="6">
        <v>10150</v>
      </c>
      <c r="M28" s="2">
        <v>2400</v>
      </c>
      <c r="N28" s="2">
        <v>0.35</v>
      </c>
      <c r="O28" s="2">
        <v>1.05</v>
      </c>
      <c r="P28" s="2">
        <v>900</v>
      </c>
      <c r="Q28" s="2">
        <v>-0.15</v>
      </c>
      <c r="R28" s="2">
        <v>0.95</v>
      </c>
      <c r="S28" s="2" t="s">
        <v>20</v>
      </c>
      <c r="T28" s="2">
        <v>10</v>
      </c>
      <c r="U28" s="2" t="s">
        <v>20</v>
      </c>
      <c r="V28" s="2">
        <v>2100</v>
      </c>
      <c r="W28" s="2" t="s">
        <v>19</v>
      </c>
    </row>
    <row r="29" spans="1:23">
      <c r="A29" s="1" t="s">
        <v>19</v>
      </c>
      <c r="B29" s="2">
        <v>15450</v>
      </c>
      <c r="C29" s="2">
        <v>-1500</v>
      </c>
      <c r="D29" s="1">
        <v>26</v>
      </c>
      <c r="E29" s="1" t="s">
        <v>20</v>
      </c>
      <c r="F29" s="3">
        <v>2885</v>
      </c>
      <c r="G29" s="14">
        <v>116.15</v>
      </c>
      <c r="H29" s="2">
        <v>75</v>
      </c>
      <c r="I29" s="3">
        <v>2836.75</v>
      </c>
      <c r="J29" s="2">
        <v>2950.85</v>
      </c>
      <c r="K29" s="2">
        <v>75</v>
      </c>
      <c r="L29" s="6">
        <v>10200</v>
      </c>
      <c r="M29" s="2">
        <v>75</v>
      </c>
      <c r="N29" s="2">
        <v>0.8</v>
      </c>
      <c r="O29" s="2">
        <v>1.05</v>
      </c>
      <c r="P29" s="2">
        <v>750</v>
      </c>
      <c r="Q29" s="2">
        <v>0.2</v>
      </c>
      <c r="R29" s="2">
        <v>1.05</v>
      </c>
      <c r="S29" s="2" t="s">
        <v>20</v>
      </c>
      <c r="T29" s="2">
        <v>214</v>
      </c>
      <c r="U29" s="2">
        <v>1350</v>
      </c>
      <c r="V29" s="2">
        <v>63300</v>
      </c>
      <c r="W29" s="2" t="s">
        <v>19</v>
      </c>
    </row>
    <row r="30" spans="1:23">
      <c r="A30" s="1" t="s">
        <v>19</v>
      </c>
      <c r="B30" s="2">
        <v>75</v>
      </c>
      <c r="C30" s="1" t="s">
        <v>20</v>
      </c>
      <c r="D30" s="1" t="s">
        <v>20</v>
      </c>
      <c r="E30" s="1" t="s">
        <v>20</v>
      </c>
      <c r="F30" s="3" t="s">
        <v>20</v>
      </c>
      <c r="G30" s="8" t="s">
        <v>20</v>
      </c>
      <c r="H30" s="2">
        <v>75</v>
      </c>
      <c r="I30" s="3">
        <v>2738.5</v>
      </c>
      <c r="J30" s="3">
        <v>2876.95</v>
      </c>
      <c r="K30" s="2">
        <v>75</v>
      </c>
      <c r="L30" s="6">
        <v>10250</v>
      </c>
      <c r="M30" s="2">
        <v>975</v>
      </c>
      <c r="N30" s="2">
        <v>0.8</v>
      </c>
      <c r="O30" s="2">
        <v>1.2</v>
      </c>
      <c r="P30" s="2">
        <v>750</v>
      </c>
      <c r="Q30" s="2">
        <v>-0.8</v>
      </c>
      <c r="R30" s="2">
        <v>0.8</v>
      </c>
      <c r="S30" s="2" t="s">
        <v>20</v>
      </c>
      <c r="T30" s="2">
        <v>16</v>
      </c>
      <c r="U30" s="2">
        <v>75</v>
      </c>
      <c r="V30" s="2">
        <v>3300</v>
      </c>
      <c r="W30" s="2" t="s">
        <v>19</v>
      </c>
    </row>
    <row r="31" spans="1:23">
      <c r="A31" s="1" t="s">
        <v>19</v>
      </c>
      <c r="B31" s="2">
        <v>4125</v>
      </c>
      <c r="C31" s="2">
        <v>-450</v>
      </c>
      <c r="D31" s="1">
        <v>7</v>
      </c>
      <c r="E31" s="1" t="s">
        <v>20</v>
      </c>
      <c r="F31" s="3">
        <v>2735</v>
      </c>
      <c r="G31" s="8">
        <v>280</v>
      </c>
      <c r="H31" s="2">
        <v>75</v>
      </c>
      <c r="I31" s="3">
        <v>2760</v>
      </c>
      <c r="J31" s="2">
        <v>2849.35</v>
      </c>
      <c r="K31" s="2">
        <v>75</v>
      </c>
      <c r="L31" s="6">
        <v>10300</v>
      </c>
      <c r="M31" s="2">
        <v>150</v>
      </c>
      <c r="N31" s="2">
        <v>1</v>
      </c>
      <c r="O31" s="2">
        <v>1.2</v>
      </c>
      <c r="P31" s="2">
        <v>225</v>
      </c>
      <c r="Q31" s="2">
        <v>0.2</v>
      </c>
      <c r="R31" s="2">
        <v>1</v>
      </c>
      <c r="S31" s="2" t="s">
        <v>20</v>
      </c>
      <c r="T31" s="2">
        <v>63</v>
      </c>
      <c r="U31" s="2">
        <v>-1500</v>
      </c>
      <c r="V31" s="2">
        <v>36750</v>
      </c>
      <c r="W31" s="2" t="s">
        <v>19</v>
      </c>
    </row>
    <row r="32" spans="1:23">
      <c r="A32" s="1" t="s">
        <v>19</v>
      </c>
      <c r="B32" s="2" t="s">
        <v>20</v>
      </c>
      <c r="C32" s="1" t="s">
        <v>20</v>
      </c>
      <c r="D32" s="1" t="s">
        <v>20</v>
      </c>
      <c r="E32" s="1" t="s">
        <v>20</v>
      </c>
      <c r="F32" s="3" t="s">
        <v>20</v>
      </c>
      <c r="G32" s="8" t="s">
        <v>20</v>
      </c>
      <c r="H32" s="2">
        <v>75</v>
      </c>
      <c r="I32" s="3">
        <v>2710.35</v>
      </c>
      <c r="J32" s="3">
        <v>2793.1</v>
      </c>
      <c r="K32" s="2">
        <v>75</v>
      </c>
      <c r="L32" s="6">
        <v>10350</v>
      </c>
      <c r="M32" s="2">
        <v>1800</v>
      </c>
      <c r="N32" s="2">
        <v>0.35</v>
      </c>
      <c r="O32" s="2">
        <v>1.1000000000000001</v>
      </c>
      <c r="P32" s="2">
        <v>75</v>
      </c>
      <c r="Q32" s="2">
        <v>-3.55</v>
      </c>
      <c r="R32" s="2">
        <v>0.25</v>
      </c>
      <c r="S32" s="2" t="s">
        <v>20</v>
      </c>
      <c r="T32" s="2">
        <v>1</v>
      </c>
      <c r="U32" s="2" t="s">
        <v>20</v>
      </c>
      <c r="V32" s="2">
        <v>75</v>
      </c>
      <c r="W32" s="2" t="s">
        <v>19</v>
      </c>
    </row>
    <row r="33" spans="1:23">
      <c r="A33" s="1" t="s">
        <v>19</v>
      </c>
      <c r="B33" s="2">
        <v>15600</v>
      </c>
      <c r="C33" s="2">
        <v>-1050</v>
      </c>
      <c r="D33" s="1">
        <v>24</v>
      </c>
      <c r="E33" s="1" t="s">
        <v>20</v>
      </c>
      <c r="F33" s="3">
        <v>2652.25</v>
      </c>
      <c r="G33" s="8">
        <v>154.25</v>
      </c>
      <c r="H33" s="2">
        <v>75</v>
      </c>
      <c r="I33" s="3">
        <v>2665</v>
      </c>
      <c r="J33" s="2">
        <v>2689.75</v>
      </c>
      <c r="K33" s="2">
        <v>75</v>
      </c>
      <c r="L33" s="6">
        <v>10400</v>
      </c>
      <c r="M33" s="2">
        <v>300</v>
      </c>
      <c r="N33" s="2">
        <v>1</v>
      </c>
      <c r="O33" s="2">
        <v>1.2</v>
      </c>
      <c r="P33" s="2">
        <v>300</v>
      </c>
      <c r="Q33" s="2">
        <v>0.25</v>
      </c>
      <c r="R33" s="2">
        <v>1.1499999999999999</v>
      </c>
      <c r="S33" s="2">
        <v>104.68</v>
      </c>
      <c r="T33" s="2">
        <v>252</v>
      </c>
      <c r="U33" s="2">
        <v>-75</v>
      </c>
      <c r="V33" s="2">
        <v>166575</v>
      </c>
      <c r="W33" s="2" t="s">
        <v>19</v>
      </c>
    </row>
    <row r="34" spans="1:23">
      <c r="A34" s="1" t="s">
        <v>19</v>
      </c>
      <c r="B34" s="2" t="s">
        <v>20</v>
      </c>
      <c r="C34" s="1" t="s">
        <v>20</v>
      </c>
      <c r="D34" s="1" t="s">
        <v>20</v>
      </c>
      <c r="E34" s="1" t="s">
        <v>20</v>
      </c>
      <c r="F34" s="3" t="s">
        <v>20</v>
      </c>
      <c r="G34" s="8" t="s">
        <v>20</v>
      </c>
      <c r="H34" s="2">
        <v>75</v>
      </c>
      <c r="I34" s="3">
        <v>2610.65</v>
      </c>
      <c r="J34" s="3">
        <v>2673.65</v>
      </c>
      <c r="K34" s="2">
        <v>75</v>
      </c>
      <c r="L34" s="6">
        <v>10450</v>
      </c>
      <c r="M34" s="2">
        <v>1800</v>
      </c>
      <c r="N34" s="2">
        <v>0.3</v>
      </c>
      <c r="O34" s="2">
        <v>1.25</v>
      </c>
      <c r="P34" s="2">
        <v>900</v>
      </c>
      <c r="Q34" s="2" t="s">
        <v>20</v>
      </c>
      <c r="R34" s="2" t="s">
        <v>20</v>
      </c>
      <c r="S34" s="2" t="s">
        <v>20</v>
      </c>
      <c r="T34" s="2" t="s">
        <v>20</v>
      </c>
      <c r="U34" s="2" t="s">
        <v>20</v>
      </c>
      <c r="V34" s="2">
        <v>1650</v>
      </c>
      <c r="W34" s="2" t="s">
        <v>19</v>
      </c>
    </row>
    <row r="35" spans="1:23">
      <c r="A35" s="1" t="s">
        <v>19</v>
      </c>
      <c r="B35" s="2">
        <v>135225</v>
      </c>
      <c r="C35" s="2">
        <v>-6900</v>
      </c>
      <c r="D35" s="1">
        <v>153</v>
      </c>
      <c r="E35" s="1" t="s">
        <v>20</v>
      </c>
      <c r="F35" s="3">
        <v>2565.65</v>
      </c>
      <c r="G35" s="8">
        <v>122.9</v>
      </c>
      <c r="H35" s="2">
        <v>150</v>
      </c>
      <c r="I35" s="3">
        <v>2572.4499999999998</v>
      </c>
      <c r="J35" s="2">
        <v>2586.35</v>
      </c>
      <c r="K35" s="2">
        <v>450</v>
      </c>
      <c r="L35" s="6">
        <v>10500</v>
      </c>
      <c r="M35" s="2">
        <v>75</v>
      </c>
      <c r="N35" s="2">
        <v>0.85</v>
      </c>
      <c r="O35" s="2">
        <v>1.4</v>
      </c>
      <c r="P35" s="2">
        <v>3450</v>
      </c>
      <c r="Q35" s="2">
        <v>0.55000000000000004</v>
      </c>
      <c r="R35" s="2">
        <v>1.4</v>
      </c>
      <c r="S35" s="2">
        <v>102.28</v>
      </c>
      <c r="T35" s="2">
        <v>2674</v>
      </c>
      <c r="U35" s="2">
        <v>-2625</v>
      </c>
      <c r="V35" s="2">
        <v>1373175</v>
      </c>
      <c r="W35" s="2" t="s">
        <v>19</v>
      </c>
    </row>
    <row r="36" spans="1:23">
      <c r="A36" s="1" t="s">
        <v>19</v>
      </c>
      <c r="B36" s="2">
        <v>75</v>
      </c>
      <c r="C36" s="1" t="s">
        <v>20</v>
      </c>
      <c r="D36" s="1" t="s">
        <v>20</v>
      </c>
      <c r="E36" s="1" t="s">
        <v>20</v>
      </c>
      <c r="F36" s="3" t="s">
        <v>20</v>
      </c>
      <c r="G36" s="8" t="s">
        <v>20</v>
      </c>
      <c r="H36" s="2">
        <v>75</v>
      </c>
      <c r="I36" s="3">
        <v>2461.4499999999998</v>
      </c>
      <c r="J36" s="3">
        <v>2575.9499999999998</v>
      </c>
      <c r="K36" s="2">
        <v>75</v>
      </c>
      <c r="L36" s="6">
        <v>10550</v>
      </c>
      <c r="M36" s="2">
        <v>1875</v>
      </c>
      <c r="N36" s="2">
        <v>0.6</v>
      </c>
      <c r="O36" s="2">
        <v>1.35</v>
      </c>
      <c r="P36" s="2">
        <v>4800</v>
      </c>
      <c r="Q36" s="2">
        <v>0.15</v>
      </c>
      <c r="R36" s="2">
        <v>1</v>
      </c>
      <c r="S36" s="2" t="s">
        <v>20</v>
      </c>
      <c r="T36" s="2">
        <v>7</v>
      </c>
      <c r="U36" s="2">
        <v>-225</v>
      </c>
      <c r="V36" s="2">
        <v>23475</v>
      </c>
      <c r="W36" s="2" t="s">
        <v>19</v>
      </c>
    </row>
    <row r="37" spans="1:23">
      <c r="A37" s="1" t="s">
        <v>19</v>
      </c>
      <c r="B37" s="2">
        <v>8550</v>
      </c>
      <c r="C37" s="2">
        <v>-375</v>
      </c>
      <c r="D37" s="1">
        <v>7</v>
      </c>
      <c r="E37" s="1" t="s">
        <v>20</v>
      </c>
      <c r="F37" s="3">
        <v>2457</v>
      </c>
      <c r="G37" s="8">
        <v>127</v>
      </c>
      <c r="H37" s="2">
        <v>75</v>
      </c>
      <c r="I37" s="3">
        <v>2469.1999999999998</v>
      </c>
      <c r="J37" s="2">
        <v>2493.4499999999998</v>
      </c>
      <c r="K37" s="2">
        <v>75</v>
      </c>
      <c r="L37" s="6">
        <v>10600</v>
      </c>
      <c r="M37" s="2">
        <v>225</v>
      </c>
      <c r="N37" s="2">
        <v>1</v>
      </c>
      <c r="O37" s="2">
        <v>1.1000000000000001</v>
      </c>
      <c r="P37" s="2">
        <v>600</v>
      </c>
      <c r="Q37" s="2">
        <v>0.15</v>
      </c>
      <c r="R37" s="2">
        <v>1</v>
      </c>
      <c r="S37" s="2">
        <v>97.34</v>
      </c>
      <c r="T37" s="2">
        <v>1533</v>
      </c>
      <c r="U37" s="2">
        <v>2550</v>
      </c>
      <c r="V37" s="2">
        <v>623400</v>
      </c>
      <c r="W37" s="2" t="s">
        <v>19</v>
      </c>
    </row>
    <row r="38" spans="1:23">
      <c r="A38" s="1" t="s">
        <v>19</v>
      </c>
      <c r="B38" s="2" t="s">
        <v>20</v>
      </c>
      <c r="C38" s="1" t="s">
        <v>20</v>
      </c>
      <c r="D38" s="1" t="s">
        <v>20</v>
      </c>
      <c r="E38" s="1" t="s">
        <v>20</v>
      </c>
      <c r="F38" s="3" t="s">
        <v>20</v>
      </c>
      <c r="G38" s="8" t="s">
        <v>20</v>
      </c>
      <c r="H38" s="2">
        <v>75</v>
      </c>
      <c r="I38" s="3">
        <v>2399.9</v>
      </c>
      <c r="J38" s="3">
        <v>2491.6999999999998</v>
      </c>
      <c r="K38" s="2">
        <v>75</v>
      </c>
      <c r="L38" s="6">
        <v>10650</v>
      </c>
      <c r="M38" s="2">
        <v>1800</v>
      </c>
      <c r="N38" s="2">
        <v>0.4</v>
      </c>
      <c r="O38" s="2">
        <v>1.5</v>
      </c>
      <c r="P38" s="2">
        <v>900</v>
      </c>
      <c r="Q38" s="2" t="s">
        <v>20</v>
      </c>
      <c r="R38" s="2" t="s">
        <v>20</v>
      </c>
      <c r="S38" s="2" t="s">
        <v>20</v>
      </c>
      <c r="T38" s="2" t="s">
        <v>20</v>
      </c>
      <c r="U38" s="2" t="s">
        <v>20</v>
      </c>
      <c r="V38" s="2">
        <v>2850</v>
      </c>
      <c r="W38" s="2" t="s">
        <v>19</v>
      </c>
    </row>
    <row r="39" spans="1:23">
      <c r="A39" s="1" t="s">
        <v>19</v>
      </c>
      <c r="B39" s="2">
        <v>11775</v>
      </c>
      <c r="C39" s="2">
        <v>-300</v>
      </c>
      <c r="D39" s="1">
        <v>8</v>
      </c>
      <c r="E39" s="1" t="s">
        <v>20</v>
      </c>
      <c r="F39" s="3">
        <v>2355.85</v>
      </c>
      <c r="G39" s="8">
        <v>155.85</v>
      </c>
      <c r="H39" s="2">
        <v>150</v>
      </c>
      <c r="I39" s="3">
        <v>2370.15</v>
      </c>
      <c r="J39" s="2">
        <v>2391.65</v>
      </c>
      <c r="K39" s="2">
        <v>75</v>
      </c>
      <c r="L39" s="6">
        <v>10700</v>
      </c>
      <c r="M39" s="2">
        <v>1725</v>
      </c>
      <c r="N39" s="2">
        <v>1</v>
      </c>
      <c r="O39" s="2">
        <v>1.2</v>
      </c>
      <c r="P39" s="2">
        <v>225</v>
      </c>
      <c r="Q39" s="2">
        <v>0.15</v>
      </c>
      <c r="R39" s="2">
        <v>1</v>
      </c>
      <c r="S39" s="2">
        <v>93.25</v>
      </c>
      <c r="T39" s="2">
        <v>1368</v>
      </c>
      <c r="U39" s="2">
        <v>-6975</v>
      </c>
      <c r="V39" s="2">
        <v>780600</v>
      </c>
      <c r="W39" s="2" t="s">
        <v>19</v>
      </c>
    </row>
    <row r="40" spans="1:23">
      <c r="A40" s="1" t="s">
        <v>19</v>
      </c>
      <c r="B40" s="2">
        <v>225</v>
      </c>
      <c r="C40" s="1" t="s">
        <v>20</v>
      </c>
      <c r="D40" s="1" t="s">
        <v>20</v>
      </c>
      <c r="E40" s="1" t="s">
        <v>20</v>
      </c>
      <c r="F40" s="3" t="s">
        <v>20</v>
      </c>
      <c r="G40" s="8" t="s">
        <v>20</v>
      </c>
      <c r="H40" s="2">
        <v>75</v>
      </c>
      <c r="I40" s="3">
        <v>2258.1</v>
      </c>
      <c r="J40" s="3">
        <v>2337.1</v>
      </c>
      <c r="K40" s="2">
        <v>75</v>
      </c>
      <c r="L40" s="6">
        <v>10750</v>
      </c>
      <c r="M40" s="2">
        <v>1800</v>
      </c>
      <c r="N40" s="2">
        <v>0.5</v>
      </c>
      <c r="O40" s="2">
        <v>1.55</v>
      </c>
      <c r="P40" s="2">
        <v>75</v>
      </c>
      <c r="Q40" s="2">
        <v>-0.2</v>
      </c>
      <c r="R40" s="2">
        <v>0.6</v>
      </c>
      <c r="S40" s="2" t="s">
        <v>20</v>
      </c>
      <c r="T40" s="2">
        <v>12</v>
      </c>
      <c r="U40" s="2">
        <v>-225</v>
      </c>
      <c r="V40" s="2">
        <v>1275</v>
      </c>
      <c r="W40" s="2" t="s">
        <v>19</v>
      </c>
    </row>
    <row r="41" spans="1:23">
      <c r="A41" s="1" t="s">
        <v>19</v>
      </c>
      <c r="B41" s="2">
        <v>49875</v>
      </c>
      <c r="C41" s="2">
        <v>-4950</v>
      </c>
      <c r="D41" s="1">
        <v>105</v>
      </c>
      <c r="E41" s="1" t="s">
        <v>20</v>
      </c>
      <c r="F41" s="3">
        <v>2255</v>
      </c>
      <c r="G41" s="8">
        <v>107</v>
      </c>
      <c r="H41" s="2">
        <v>75</v>
      </c>
      <c r="I41" s="3">
        <v>2269.25</v>
      </c>
      <c r="J41" s="2">
        <v>2304.65</v>
      </c>
      <c r="K41" s="2">
        <v>75</v>
      </c>
      <c r="L41" s="6">
        <v>10800</v>
      </c>
      <c r="M41" s="2">
        <v>1500</v>
      </c>
      <c r="N41" s="2">
        <v>1.1499999999999999</v>
      </c>
      <c r="O41" s="2">
        <v>1.2</v>
      </c>
      <c r="P41" s="2">
        <v>3525</v>
      </c>
      <c r="Q41" s="2">
        <v>0.25</v>
      </c>
      <c r="R41" s="2">
        <v>1.2</v>
      </c>
      <c r="S41" s="2">
        <v>89.93</v>
      </c>
      <c r="T41" s="2">
        <v>747</v>
      </c>
      <c r="U41" s="2">
        <v>-15150</v>
      </c>
      <c r="V41" s="2">
        <v>876450</v>
      </c>
      <c r="W41" s="2" t="s">
        <v>19</v>
      </c>
    </row>
    <row r="42" spans="1:23">
      <c r="A42" s="1" t="s">
        <v>19</v>
      </c>
      <c r="B42" s="2">
        <v>375</v>
      </c>
      <c r="C42" s="2" t="s">
        <v>20</v>
      </c>
      <c r="D42" s="2" t="s">
        <v>20</v>
      </c>
      <c r="E42" s="1" t="s">
        <v>20</v>
      </c>
      <c r="F42" s="3" t="s">
        <v>20</v>
      </c>
      <c r="G42" s="8" t="s">
        <v>20</v>
      </c>
      <c r="H42" s="2">
        <v>75</v>
      </c>
      <c r="I42" s="3">
        <v>2133.6999999999998</v>
      </c>
      <c r="J42" s="3">
        <v>2255.25</v>
      </c>
      <c r="K42" s="2">
        <v>75</v>
      </c>
      <c r="L42" s="6">
        <v>10850</v>
      </c>
      <c r="M42" s="2">
        <v>75</v>
      </c>
      <c r="N42" s="2">
        <v>1.1000000000000001</v>
      </c>
      <c r="O42" s="2">
        <v>1.8</v>
      </c>
      <c r="P42" s="2">
        <v>1800</v>
      </c>
      <c r="Q42" s="2">
        <v>-0.15</v>
      </c>
      <c r="R42" s="2">
        <v>1.25</v>
      </c>
      <c r="S42" s="2" t="s">
        <v>20</v>
      </c>
      <c r="T42" s="2">
        <v>58</v>
      </c>
      <c r="U42" s="2">
        <v>-3525</v>
      </c>
      <c r="V42" s="2">
        <v>6825</v>
      </c>
      <c r="W42" s="2" t="s">
        <v>19</v>
      </c>
    </row>
    <row r="43" spans="1:23">
      <c r="A43" s="1" t="s">
        <v>19</v>
      </c>
      <c r="B43" s="2">
        <v>18075</v>
      </c>
      <c r="C43" s="2">
        <v>-2325</v>
      </c>
      <c r="D43" s="1">
        <v>47</v>
      </c>
      <c r="E43" s="1" t="s">
        <v>20</v>
      </c>
      <c r="F43" s="3">
        <v>2160</v>
      </c>
      <c r="G43" s="8">
        <v>105</v>
      </c>
      <c r="H43" s="2">
        <v>600</v>
      </c>
      <c r="I43" s="3">
        <v>2170.25</v>
      </c>
      <c r="J43" s="2">
        <v>2201.1999999999998</v>
      </c>
      <c r="K43" s="2">
        <v>150</v>
      </c>
      <c r="L43" s="6">
        <v>10900</v>
      </c>
      <c r="M43" s="2">
        <v>1650</v>
      </c>
      <c r="N43" s="2">
        <v>1.1499999999999999</v>
      </c>
      <c r="O43" s="2">
        <v>1.25</v>
      </c>
      <c r="P43" s="2">
        <v>1050</v>
      </c>
      <c r="Q43" s="2">
        <v>0.1</v>
      </c>
      <c r="R43" s="2">
        <v>1.1499999999999999</v>
      </c>
      <c r="S43" s="2">
        <v>85.87</v>
      </c>
      <c r="T43" s="2">
        <v>1742</v>
      </c>
      <c r="U43" s="2">
        <v>-23175</v>
      </c>
      <c r="V43" s="2">
        <v>628650</v>
      </c>
      <c r="W43" s="2" t="s">
        <v>19</v>
      </c>
    </row>
    <row r="44" spans="1:23">
      <c r="A44" s="1" t="s">
        <v>19</v>
      </c>
      <c r="B44" s="2">
        <v>225</v>
      </c>
      <c r="C44" s="2" t="s">
        <v>20</v>
      </c>
      <c r="D44" s="2" t="s">
        <v>20</v>
      </c>
      <c r="E44" s="1" t="s">
        <v>20</v>
      </c>
      <c r="F44" s="3" t="s">
        <v>20</v>
      </c>
      <c r="G44" s="8" t="s">
        <v>20</v>
      </c>
      <c r="H44" s="2">
        <v>75</v>
      </c>
      <c r="I44" s="3">
        <v>2050.1999999999998</v>
      </c>
      <c r="J44" s="3">
        <v>2193.4</v>
      </c>
      <c r="K44" s="2">
        <v>525</v>
      </c>
      <c r="L44" s="6">
        <v>10950</v>
      </c>
      <c r="M44" s="2">
        <v>300</v>
      </c>
      <c r="N44" s="2">
        <v>0.65</v>
      </c>
      <c r="O44" s="2">
        <v>1.6</v>
      </c>
      <c r="P44" s="2">
        <v>150</v>
      </c>
      <c r="Q44" s="2">
        <v>0.25</v>
      </c>
      <c r="R44" s="2">
        <v>1.1499999999999999</v>
      </c>
      <c r="S44" s="2" t="s">
        <v>20</v>
      </c>
      <c r="T44" s="2">
        <v>7</v>
      </c>
      <c r="U44" s="2">
        <v>-150</v>
      </c>
      <c r="V44" s="2">
        <v>6975</v>
      </c>
      <c r="W44" s="2" t="s">
        <v>19</v>
      </c>
    </row>
    <row r="45" spans="1:23">
      <c r="A45" s="1" t="s">
        <v>19</v>
      </c>
      <c r="B45" s="2">
        <v>210525</v>
      </c>
      <c r="C45" s="2">
        <v>-18375</v>
      </c>
      <c r="D45" s="2">
        <v>519</v>
      </c>
      <c r="E45" s="1" t="s">
        <v>20</v>
      </c>
      <c r="F45" s="3">
        <v>2082.9499999999998</v>
      </c>
      <c r="G45" s="8">
        <v>147.9</v>
      </c>
      <c r="H45" s="2">
        <v>525</v>
      </c>
      <c r="I45" s="3">
        <v>2078.65</v>
      </c>
      <c r="J45" s="2">
        <v>2084.4</v>
      </c>
      <c r="K45" s="2">
        <v>75</v>
      </c>
      <c r="L45" s="6">
        <v>11000</v>
      </c>
      <c r="M45" s="2">
        <v>2850</v>
      </c>
      <c r="N45" s="2">
        <v>1.1499999999999999</v>
      </c>
      <c r="O45" s="2">
        <v>1.3</v>
      </c>
      <c r="P45" s="2">
        <v>1650</v>
      </c>
      <c r="Q45" s="2">
        <v>0.05</v>
      </c>
      <c r="R45" s="2">
        <v>1.1499999999999999</v>
      </c>
      <c r="S45" s="2">
        <v>86.62</v>
      </c>
      <c r="T45" s="2">
        <v>8906</v>
      </c>
      <c r="U45" s="2">
        <v>-114150</v>
      </c>
      <c r="V45" s="2">
        <v>1919175</v>
      </c>
      <c r="W45" s="2" t="s">
        <v>19</v>
      </c>
    </row>
    <row r="46" spans="1:23">
      <c r="A46" s="1" t="s">
        <v>19</v>
      </c>
      <c r="B46" s="2">
        <v>150</v>
      </c>
      <c r="C46" s="2" t="s">
        <v>20</v>
      </c>
      <c r="D46" s="2" t="s">
        <v>20</v>
      </c>
      <c r="E46" s="1" t="s">
        <v>20</v>
      </c>
      <c r="F46" s="3" t="s">
        <v>20</v>
      </c>
      <c r="G46" s="8" t="s">
        <v>20</v>
      </c>
      <c r="H46" s="2">
        <v>75</v>
      </c>
      <c r="I46" s="3">
        <v>2013.25</v>
      </c>
      <c r="J46" s="2">
        <v>2099.8000000000002</v>
      </c>
      <c r="K46" s="2">
        <v>525</v>
      </c>
      <c r="L46" s="6">
        <v>11050</v>
      </c>
      <c r="M46" s="2">
        <v>75</v>
      </c>
      <c r="N46" s="2">
        <v>0.75</v>
      </c>
      <c r="O46" s="2">
        <v>1.45</v>
      </c>
      <c r="P46" s="2">
        <v>75</v>
      </c>
      <c r="Q46" s="2">
        <v>0.4</v>
      </c>
      <c r="R46" s="2">
        <v>1.4</v>
      </c>
      <c r="S46" s="2">
        <v>68.37</v>
      </c>
      <c r="T46" s="2">
        <v>39</v>
      </c>
      <c r="U46" s="2">
        <v>-1575</v>
      </c>
      <c r="V46" s="2">
        <v>11925</v>
      </c>
      <c r="W46" s="2" t="s">
        <v>19</v>
      </c>
    </row>
    <row r="47" spans="1:23">
      <c r="A47" s="1" t="s">
        <v>19</v>
      </c>
      <c r="B47" s="2">
        <v>27525</v>
      </c>
      <c r="C47" s="2">
        <v>-2625</v>
      </c>
      <c r="D47" s="2">
        <v>153</v>
      </c>
      <c r="E47" s="1" t="s">
        <v>20</v>
      </c>
      <c r="F47" s="3">
        <v>1983.05</v>
      </c>
      <c r="G47" s="8">
        <v>145.6</v>
      </c>
      <c r="H47" s="2">
        <v>300</v>
      </c>
      <c r="I47" s="3">
        <v>1973.4</v>
      </c>
      <c r="J47" s="2">
        <v>1987.65</v>
      </c>
      <c r="K47" s="2">
        <v>300</v>
      </c>
      <c r="L47" s="6">
        <v>11100</v>
      </c>
      <c r="M47" s="2">
        <v>150</v>
      </c>
      <c r="N47" s="2">
        <v>1.5</v>
      </c>
      <c r="O47" s="2">
        <v>1.7</v>
      </c>
      <c r="P47" s="2">
        <v>1500</v>
      </c>
      <c r="Q47" s="2">
        <v>0.3</v>
      </c>
      <c r="R47" s="2">
        <v>1.5</v>
      </c>
      <c r="S47" s="2">
        <v>83.22</v>
      </c>
      <c r="T47" s="2">
        <v>925</v>
      </c>
      <c r="U47" s="2">
        <v>-10125</v>
      </c>
      <c r="V47" s="2">
        <v>420600</v>
      </c>
      <c r="W47" s="2" t="s">
        <v>19</v>
      </c>
    </row>
    <row r="48" spans="1:23">
      <c r="A48" s="1" t="s">
        <v>19</v>
      </c>
      <c r="B48" s="2">
        <v>225</v>
      </c>
      <c r="C48" s="2" t="s">
        <v>20</v>
      </c>
      <c r="D48" s="2" t="s">
        <v>20</v>
      </c>
      <c r="E48" s="1" t="s">
        <v>20</v>
      </c>
      <c r="F48" s="3" t="s">
        <v>20</v>
      </c>
      <c r="G48" s="8" t="s">
        <v>20</v>
      </c>
      <c r="H48" s="2">
        <v>75</v>
      </c>
      <c r="I48" s="3">
        <v>1854.7</v>
      </c>
      <c r="J48" s="2">
        <v>2029.75</v>
      </c>
      <c r="K48" s="2">
        <v>525</v>
      </c>
      <c r="L48" s="6">
        <v>11150</v>
      </c>
      <c r="M48" s="2">
        <v>75</v>
      </c>
      <c r="N48" s="2">
        <v>0.95</v>
      </c>
      <c r="O48" s="2">
        <v>1.75</v>
      </c>
      <c r="P48" s="2">
        <v>600</v>
      </c>
      <c r="Q48" s="2">
        <v>0.45</v>
      </c>
      <c r="R48" s="2">
        <v>1.4</v>
      </c>
      <c r="S48" s="2">
        <v>79.45</v>
      </c>
      <c r="T48" s="2">
        <v>35</v>
      </c>
      <c r="U48" s="2">
        <v>225</v>
      </c>
      <c r="V48" s="2">
        <v>4650</v>
      </c>
      <c r="W48" s="2" t="s">
        <v>19</v>
      </c>
    </row>
    <row r="49" spans="1:23">
      <c r="A49" s="1" t="s">
        <v>19</v>
      </c>
      <c r="B49" s="2">
        <v>67050</v>
      </c>
      <c r="C49" s="2">
        <v>-2100</v>
      </c>
      <c r="D49" s="2">
        <v>93</v>
      </c>
      <c r="E49" s="1" t="s">
        <v>20</v>
      </c>
      <c r="F49" s="3">
        <v>1885</v>
      </c>
      <c r="G49" s="8">
        <v>148.5</v>
      </c>
      <c r="H49" s="2">
        <v>375</v>
      </c>
      <c r="I49" s="3">
        <v>1874.25</v>
      </c>
      <c r="J49" s="2">
        <v>1889.95</v>
      </c>
      <c r="K49" s="2">
        <v>900</v>
      </c>
      <c r="L49" s="6">
        <v>11200</v>
      </c>
      <c r="M49" s="2">
        <v>225</v>
      </c>
      <c r="N49" s="2">
        <v>1.45</v>
      </c>
      <c r="O49" s="2">
        <v>1.7</v>
      </c>
      <c r="P49" s="2">
        <v>3075</v>
      </c>
      <c r="Q49" s="2">
        <v>0.3</v>
      </c>
      <c r="R49" s="2">
        <v>1.6</v>
      </c>
      <c r="S49" s="2">
        <v>79.72</v>
      </c>
      <c r="T49" s="2">
        <v>2883</v>
      </c>
      <c r="U49" s="2">
        <v>-6750</v>
      </c>
      <c r="V49" s="2">
        <v>750225</v>
      </c>
      <c r="W49" s="2" t="s">
        <v>19</v>
      </c>
    </row>
    <row r="50" spans="1:23">
      <c r="A50" s="1" t="s">
        <v>19</v>
      </c>
      <c r="B50" s="2">
        <v>750</v>
      </c>
      <c r="C50" s="2" t="s">
        <v>20</v>
      </c>
      <c r="D50" s="2" t="s">
        <v>20</v>
      </c>
      <c r="E50" s="1" t="s">
        <v>20</v>
      </c>
      <c r="F50" s="3" t="s">
        <v>20</v>
      </c>
      <c r="G50" s="8" t="s">
        <v>20</v>
      </c>
      <c r="H50" s="2">
        <v>1500</v>
      </c>
      <c r="I50" s="3">
        <v>1759.7</v>
      </c>
      <c r="J50" s="2">
        <v>1895.6</v>
      </c>
      <c r="K50" s="2">
        <v>1500</v>
      </c>
      <c r="L50" s="6">
        <v>11250</v>
      </c>
      <c r="M50" s="2">
        <v>75</v>
      </c>
      <c r="N50" s="2">
        <v>1.05</v>
      </c>
      <c r="O50" s="2">
        <v>2.1</v>
      </c>
      <c r="P50" s="2">
        <v>75</v>
      </c>
      <c r="Q50" s="2">
        <v>0.25</v>
      </c>
      <c r="R50" s="2">
        <v>1.55</v>
      </c>
      <c r="S50" s="2" t="s">
        <v>20</v>
      </c>
      <c r="T50" s="2">
        <v>356</v>
      </c>
      <c r="U50" s="2">
        <v>-12300</v>
      </c>
      <c r="V50" s="2">
        <v>57900</v>
      </c>
      <c r="W50" s="2" t="s">
        <v>19</v>
      </c>
    </row>
    <row r="51" spans="1:23">
      <c r="A51" s="1" t="s">
        <v>19</v>
      </c>
      <c r="B51" s="2">
        <v>51900</v>
      </c>
      <c r="C51" s="2">
        <v>-1650</v>
      </c>
      <c r="D51" s="2">
        <v>47</v>
      </c>
      <c r="E51" s="1" t="s">
        <v>20</v>
      </c>
      <c r="F51" s="3">
        <v>1774.25</v>
      </c>
      <c r="G51" s="8">
        <v>139.30000000000001</v>
      </c>
      <c r="H51" s="2">
        <v>300</v>
      </c>
      <c r="I51" s="3">
        <v>1774.4</v>
      </c>
      <c r="J51" s="2">
        <v>1787.6</v>
      </c>
      <c r="K51" s="2">
        <v>600</v>
      </c>
      <c r="L51" s="6">
        <v>11300</v>
      </c>
      <c r="M51" s="2">
        <v>75</v>
      </c>
      <c r="N51" s="2">
        <v>1.5</v>
      </c>
      <c r="O51" s="2">
        <v>1.55</v>
      </c>
      <c r="P51" s="2">
        <v>1200</v>
      </c>
      <c r="Q51" s="2">
        <v>0.15</v>
      </c>
      <c r="R51" s="2">
        <v>1.55</v>
      </c>
      <c r="S51" s="2">
        <v>75.81</v>
      </c>
      <c r="T51" s="2">
        <v>5815</v>
      </c>
      <c r="U51" s="2">
        <v>-8175</v>
      </c>
      <c r="V51" s="2">
        <v>490125</v>
      </c>
      <c r="W51" s="2" t="s">
        <v>19</v>
      </c>
    </row>
    <row r="52" spans="1:23">
      <c r="A52" s="1" t="s">
        <v>19</v>
      </c>
      <c r="B52" s="2">
        <v>1725</v>
      </c>
      <c r="C52" s="2" t="s">
        <v>20</v>
      </c>
      <c r="D52" s="2">
        <v>10</v>
      </c>
      <c r="E52" s="1">
        <v>150.82</v>
      </c>
      <c r="F52" s="3">
        <v>1712.2</v>
      </c>
      <c r="G52" s="8">
        <v>200.55</v>
      </c>
      <c r="H52" s="2">
        <v>75</v>
      </c>
      <c r="I52" s="3">
        <v>1666.55</v>
      </c>
      <c r="J52" s="2">
        <v>1807.7</v>
      </c>
      <c r="K52" s="2">
        <v>75</v>
      </c>
      <c r="L52" s="6">
        <v>11350</v>
      </c>
      <c r="M52" s="2">
        <v>75</v>
      </c>
      <c r="N52" s="2">
        <v>1.2</v>
      </c>
      <c r="O52" s="2">
        <v>2.2000000000000002</v>
      </c>
      <c r="P52" s="2">
        <v>1425</v>
      </c>
      <c r="Q52" s="2">
        <v>0.35</v>
      </c>
      <c r="R52" s="2">
        <v>1.65</v>
      </c>
      <c r="S52" s="2">
        <v>78.459999999999994</v>
      </c>
      <c r="T52" s="2">
        <v>164</v>
      </c>
      <c r="U52" s="2">
        <v>-375</v>
      </c>
      <c r="V52" s="2">
        <v>23100</v>
      </c>
      <c r="W52" s="2" t="s">
        <v>19</v>
      </c>
    </row>
    <row r="53" spans="1:23">
      <c r="A53" s="1" t="s">
        <v>19</v>
      </c>
      <c r="B53" s="2">
        <v>88725</v>
      </c>
      <c r="C53" s="2">
        <v>-2850</v>
      </c>
      <c r="D53" s="2">
        <v>93</v>
      </c>
      <c r="E53" s="1" t="s">
        <v>20</v>
      </c>
      <c r="F53" s="3">
        <v>1679</v>
      </c>
      <c r="G53" s="8">
        <v>143.05000000000001</v>
      </c>
      <c r="H53" s="2">
        <v>600</v>
      </c>
      <c r="I53" s="3">
        <v>1680.9</v>
      </c>
      <c r="J53" s="2">
        <v>1688.55</v>
      </c>
      <c r="K53" s="2">
        <v>1350</v>
      </c>
      <c r="L53" s="6">
        <v>11400</v>
      </c>
      <c r="M53" s="2">
        <v>2850</v>
      </c>
      <c r="N53" s="2">
        <v>1.65</v>
      </c>
      <c r="O53" s="2">
        <v>1.75</v>
      </c>
      <c r="P53" s="2">
        <v>3000</v>
      </c>
      <c r="Q53" s="2">
        <v>0.35</v>
      </c>
      <c r="R53" s="2">
        <v>1.65</v>
      </c>
      <c r="S53" s="2">
        <v>71.87</v>
      </c>
      <c r="T53" s="2">
        <v>3250</v>
      </c>
      <c r="U53" s="2">
        <v>-31275</v>
      </c>
      <c r="V53" s="2">
        <v>438000</v>
      </c>
      <c r="W53" s="2" t="s">
        <v>19</v>
      </c>
    </row>
    <row r="54" spans="1:23">
      <c r="A54" s="1" t="s">
        <v>19</v>
      </c>
      <c r="B54" s="2">
        <v>14775</v>
      </c>
      <c r="C54" s="2" t="s">
        <v>20</v>
      </c>
      <c r="D54" s="2">
        <v>5</v>
      </c>
      <c r="E54" s="1" t="s">
        <v>20</v>
      </c>
      <c r="F54" s="3">
        <v>1612.4</v>
      </c>
      <c r="G54" s="8">
        <v>122.4</v>
      </c>
      <c r="H54" s="2">
        <v>75</v>
      </c>
      <c r="I54" s="3">
        <v>1618.3</v>
      </c>
      <c r="J54" s="2">
        <v>1637.1</v>
      </c>
      <c r="K54" s="2">
        <v>300</v>
      </c>
      <c r="L54" s="6">
        <v>11450</v>
      </c>
      <c r="M54" s="2">
        <v>75</v>
      </c>
      <c r="N54" s="2">
        <v>1.5</v>
      </c>
      <c r="O54" s="2">
        <v>1.8</v>
      </c>
      <c r="P54" s="2">
        <v>150</v>
      </c>
      <c r="Q54" s="2">
        <v>0.3</v>
      </c>
      <c r="R54" s="2">
        <v>1.75</v>
      </c>
      <c r="S54" s="2">
        <v>70.61</v>
      </c>
      <c r="T54" s="2">
        <v>511</v>
      </c>
      <c r="U54" s="2">
        <v>-1425</v>
      </c>
      <c r="V54" s="2">
        <v>29700</v>
      </c>
      <c r="W54" s="2" t="s">
        <v>19</v>
      </c>
    </row>
    <row r="55" spans="1:23">
      <c r="A55" s="1" t="s">
        <v>19</v>
      </c>
      <c r="B55" s="2">
        <v>325125</v>
      </c>
      <c r="C55" s="2">
        <v>-18600</v>
      </c>
      <c r="D55" s="2">
        <v>717</v>
      </c>
      <c r="E55" s="1" t="s">
        <v>20</v>
      </c>
      <c r="F55" s="3">
        <v>1579.3</v>
      </c>
      <c r="G55" s="8">
        <v>141.44999999999999</v>
      </c>
      <c r="H55" s="2">
        <v>75</v>
      </c>
      <c r="I55" s="3">
        <v>1579.45</v>
      </c>
      <c r="J55" s="2">
        <v>1584.75</v>
      </c>
      <c r="K55" s="2">
        <v>75</v>
      </c>
      <c r="L55" s="6">
        <v>11500</v>
      </c>
      <c r="M55" s="2">
        <v>1800</v>
      </c>
      <c r="N55" s="2">
        <v>1.55</v>
      </c>
      <c r="O55" s="2">
        <v>1.65</v>
      </c>
      <c r="P55" s="2">
        <v>3900</v>
      </c>
      <c r="Q55" s="2">
        <v>0.1</v>
      </c>
      <c r="R55" s="2">
        <v>1.55</v>
      </c>
      <c r="S55" s="2">
        <v>68.47</v>
      </c>
      <c r="T55" s="2">
        <v>36302</v>
      </c>
      <c r="U55" s="2">
        <v>-78825</v>
      </c>
      <c r="V55" s="2">
        <v>2053350</v>
      </c>
      <c r="W55" s="2" t="s">
        <v>19</v>
      </c>
    </row>
    <row r="56" spans="1:23">
      <c r="A56" s="1" t="s">
        <v>19</v>
      </c>
      <c r="B56" s="2">
        <v>19800</v>
      </c>
      <c r="C56" s="2" t="s">
        <v>20</v>
      </c>
      <c r="D56" s="2">
        <v>8</v>
      </c>
      <c r="E56" s="1" t="s">
        <v>20</v>
      </c>
      <c r="F56" s="3">
        <v>1517.3</v>
      </c>
      <c r="G56" s="8">
        <v>113.7</v>
      </c>
      <c r="H56" s="2">
        <v>75</v>
      </c>
      <c r="I56" s="3">
        <v>1523.95</v>
      </c>
      <c r="J56" s="2">
        <v>1537.85</v>
      </c>
      <c r="K56" s="2">
        <v>600</v>
      </c>
      <c r="L56" s="6">
        <v>11550</v>
      </c>
      <c r="M56" s="2">
        <v>750</v>
      </c>
      <c r="N56" s="2">
        <v>1.05</v>
      </c>
      <c r="O56" s="2">
        <v>2</v>
      </c>
      <c r="P56" s="2">
        <v>3750</v>
      </c>
      <c r="Q56" s="2">
        <v>0.1</v>
      </c>
      <c r="R56" s="2">
        <v>1.65</v>
      </c>
      <c r="S56" s="2">
        <v>66.33</v>
      </c>
      <c r="T56" s="2">
        <v>425</v>
      </c>
      <c r="U56" s="2">
        <v>-4800</v>
      </c>
      <c r="V56" s="2">
        <v>53325</v>
      </c>
      <c r="W56" s="2" t="s">
        <v>19</v>
      </c>
    </row>
    <row r="57" spans="1:23">
      <c r="A57" s="1" t="s">
        <v>19</v>
      </c>
      <c r="B57" s="2">
        <v>390300</v>
      </c>
      <c r="C57" s="2">
        <v>-3975</v>
      </c>
      <c r="D57" s="2">
        <v>215</v>
      </c>
      <c r="E57" s="1" t="s">
        <v>20</v>
      </c>
      <c r="F57" s="3">
        <v>1482.2</v>
      </c>
      <c r="G57" s="8">
        <v>141.19999999999999</v>
      </c>
      <c r="H57" s="2">
        <v>150</v>
      </c>
      <c r="I57" s="3">
        <v>1480.75</v>
      </c>
      <c r="J57" s="2">
        <v>1486.3</v>
      </c>
      <c r="K57" s="2">
        <v>1425</v>
      </c>
      <c r="L57" s="6">
        <v>11600</v>
      </c>
      <c r="M57" s="2">
        <v>450</v>
      </c>
      <c r="N57" s="2">
        <v>1.7</v>
      </c>
      <c r="O57" s="2">
        <v>1.8</v>
      </c>
      <c r="P57" s="2">
        <v>750</v>
      </c>
      <c r="Q57" s="2">
        <v>0.2</v>
      </c>
      <c r="R57" s="2">
        <v>1.7</v>
      </c>
      <c r="S57" s="2">
        <v>63.94</v>
      </c>
      <c r="T57" s="2">
        <v>5012</v>
      </c>
      <c r="U57" s="2">
        <v>-75825</v>
      </c>
      <c r="V57" s="2">
        <v>978750</v>
      </c>
      <c r="W57" s="2" t="s">
        <v>19</v>
      </c>
    </row>
    <row r="58" spans="1:23">
      <c r="A58" s="1" t="s">
        <v>19</v>
      </c>
      <c r="B58" s="2">
        <v>12825</v>
      </c>
      <c r="C58" s="2" t="s">
        <v>20</v>
      </c>
      <c r="D58" s="2">
        <v>9</v>
      </c>
      <c r="E58" s="1" t="s">
        <v>20</v>
      </c>
      <c r="F58" s="3">
        <v>1412.25</v>
      </c>
      <c r="G58" s="8">
        <v>137.25</v>
      </c>
      <c r="H58" s="2">
        <v>150</v>
      </c>
      <c r="I58" s="3">
        <v>1420.85</v>
      </c>
      <c r="J58" s="2">
        <v>1453.05</v>
      </c>
      <c r="K58" s="2">
        <v>75</v>
      </c>
      <c r="L58" s="6">
        <v>11650</v>
      </c>
      <c r="M58" s="2">
        <v>300</v>
      </c>
      <c r="N58" s="2">
        <v>1.45</v>
      </c>
      <c r="O58" s="2">
        <v>2</v>
      </c>
      <c r="P58" s="2">
        <v>3000</v>
      </c>
      <c r="Q58" s="2">
        <v>0.3</v>
      </c>
      <c r="R58" s="2">
        <v>1.9</v>
      </c>
      <c r="S58" s="2">
        <v>61.28</v>
      </c>
      <c r="T58" s="2">
        <v>518</v>
      </c>
      <c r="U58" s="2">
        <v>-24750</v>
      </c>
      <c r="V58" s="2">
        <v>50775</v>
      </c>
      <c r="W58" s="2" t="s">
        <v>19</v>
      </c>
    </row>
    <row r="59" spans="1:23">
      <c r="A59" s="1" t="s">
        <v>19</v>
      </c>
      <c r="B59" s="2">
        <v>517200</v>
      </c>
      <c r="C59" s="2">
        <v>-1650</v>
      </c>
      <c r="D59" s="2">
        <v>262</v>
      </c>
      <c r="E59" s="1" t="s">
        <v>20</v>
      </c>
      <c r="F59" s="3">
        <v>1379.55</v>
      </c>
      <c r="G59" s="8">
        <v>137.25</v>
      </c>
      <c r="H59" s="2">
        <v>600</v>
      </c>
      <c r="I59" s="3">
        <v>1379.65</v>
      </c>
      <c r="J59" s="2">
        <v>1386.4</v>
      </c>
      <c r="K59" s="2">
        <v>900</v>
      </c>
      <c r="L59" s="6">
        <v>11700</v>
      </c>
      <c r="M59" s="2">
        <v>225</v>
      </c>
      <c r="N59" s="2">
        <v>1.8</v>
      </c>
      <c r="O59" s="2">
        <v>1.9</v>
      </c>
      <c r="P59" s="2">
        <v>3975</v>
      </c>
      <c r="Q59" s="2">
        <v>0.3</v>
      </c>
      <c r="R59" s="2">
        <v>1.9</v>
      </c>
      <c r="S59" s="2">
        <v>59.93</v>
      </c>
      <c r="T59" s="2">
        <v>6296</v>
      </c>
      <c r="U59" s="2">
        <v>-122700</v>
      </c>
      <c r="V59" s="2">
        <v>964200</v>
      </c>
      <c r="W59" s="2" t="s">
        <v>19</v>
      </c>
    </row>
    <row r="60" spans="1:23">
      <c r="A60" s="1" t="s">
        <v>19</v>
      </c>
      <c r="B60" s="2">
        <v>17775</v>
      </c>
      <c r="C60" s="2">
        <v>-75</v>
      </c>
      <c r="D60" s="2">
        <v>3</v>
      </c>
      <c r="E60" s="1" t="s">
        <v>20</v>
      </c>
      <c r="F60" s="3">
        <v>1313.85</v>
      </c>
      <c r="G60" s="8">
        <v>233.5</v>
      </c>
      <c r="H60" s="2">
        <v>375</v>
      </c>
      <c r="I60" s="3">
        <v>1326.8</v>
      </c>
      <c r="J60" s="2">
        <v>1337.25</v>
      </c>
      <c r="K60" s="2">
        <v>300</v>
      </c>
      <c r="L60" s="6">
        <v>11750</v>
      </c>
      <c r="M60" s="2">
        <v>75</v>
      </c>
      <c r="N60" s="2">
        <v>1.55</v>
      </c>
      <c r="O60" s="2">
        <v>2.2000000000000002</v>
      </c>
      <c r="P60" s="2">
        <v>1500</v>
      </c>
      <c r="Q60" s="2">
        <v>0.05</v>
      </c>
      <c r="R60" s="2">
        <v>1.7</v>
      </c>
      <c r="S60" s="2">
        <v>57.8</v>
      </c>
      <c r="T60" s="2">
        <v>499</v>
      </c>
      <c r="U60" s="2">
        <v>-13050</v>
      </c>
      <c r="V60" s="2">
        <v>43125</v>
      </c>
      <c r="W60" s="2" t="s">
        <v>19</v>
      </c>
    </row>
    <row r="61" spans="1:23">
      <c r="A61" s="1" t="s">
        <v>19</v>
      </c>
      <c r="B61" s="2">
        <v>495675</v>
      </c>
      <c r="C61" s="2">
        <v>-3750</v>
      </c>
      <c r="D61" s="2">
        <v>445</v>
      </c>
      <c r="E61" s="1" t="s">
        <v>20</v>
      </c>
      <c r="F61" s="3">
        <v>1278</v>
      </c>
      <c r="G61" s="8">
        <v>139.19999999999999</v>
      </c>
      <c r="H61" s="2">
        <v>75</v>
      </c>
      <c r="I61" s="3">
        <v>1271.6500000000001</v>
      </c>
      <c r="J61" s="2">
        <v>1286.5999999999999</v>
      </c>
      <c r="K61" s="2">
        <v>900</v>
      </c>
      <c r="L61" s="6">
        <v>11800</v>
      </c>
      <c r="M61" s="2">
        <v>750</v>
      </c>
      <c r="N61" s="2">
        <v>1.8</v>
      </c>
      <c r="O61" s="2">
        <v>2.1</v>
      </c>
      <c r="P61" s="2">
        <v>75</v>
      </c>
      <c r="Q61" s="2">
        <v>0.1</v>
      </c>
      <c r="R61" s="2">
        <v>1.85</v>
      </c>
      <c r="S61" s="2">
        <v>55.9</v>
      </c>
      <c r="T61" s="2">
        <v>12956</v>
      </c>
      <c r="U61" s="2">
        <v>-218175</v>
      </c>
      <c r="V61" s="2">
        <v>1152450</v>
      </c>
      <c r="W61" s="2" t="s">
        <v>19</v>
      </c>
    </row>
    <row r="62" spans="1:23">
      <c r="A62" s="1" t="s">
        <v>19</v>
      </c>
      <c r="B62" s="2">
        <v>12075</v>
      </c>
      <c r="C62" s="2" t="s">
        <v>20</v>
      </c>
      <c r="D62" s="2">
        <v>3</v>
      </c>
      <c r="E62" s="1" t="s">
        <v>20</v>
      </c>
      <c r="F62" s="3">
        <v>1208.1500000000001</v>
      </c>
      <c r="G62" s="8">
        <v>124.8</v>
      </c>
      <c r="H62" s="2">
        <v>75</v>
      </c>
      <c r="I62" s="3">
        <v>1219.7</v>
      </c>
      <c r="J62" s="2">
        <v>1238.75</v>
      </c>
      <c r="K62" s="2">
        <v>600</v>
      </c>
      <c r="L62" s="6">
        <v>11850</v>
      </c>
      <c r="M62" s="2">
        <v>75</v>
      </c>
      <c r="N62" s="2">
        <v>1.55</v>
      </c>
      <c r="O62" s="2">
        <v>2.2999999999999998</v>
      </c>
      <c r="P62" s="2">
        <v>900</v>
      </c>
      <c r="Q62" s="2">
        <v>0.35</v>
      </c>
      <c r="R62" s="2">
        <v>2.25</v>
      </c>
      <c r="S62" s="2">
        <v>53.98</v>
      </c>
      <c r="T62" s="2">
        <v>910</v>
      </c>
      <c r="U62" s="2">
        <v>-1350</v>
      </c>
      <c r="V62" s="2">
        <v>49950</v>
      </c>
      <c r="W62" s="2" t="s">
        <v>19</v>
      </c>
    </row>
    <row r="63" spans="1:23">
      <c r="A63" s="1" t="s">
        <v>19</v>
      </c>
      <c r="B63" s="2">
        <v>305475</v>
      </c>
      <c r="C63" s="2">
        <v>-9975</v>
      </c>
      <c r="D63" s="2">
        <v>221</v>
      </c>
      <c r="E63" s="1" t="s">
        <v>20</v>
      </c>
      <c r="F63" s="3">
        <v>1180.95</v>
      </c>
      <c r="G63" s="8">
        <v>142.85</v>
      </c>
      <c r="H63" s="2">
        <v>75</v>
      </c>
      <c r="I63" s="3">
        <v>1177</v>
      </c>
      <c r="J63" s="2">
        <v>1187.5</v>
      </c>
      <c r="K63" s="2">
        <v>1650</v>
      </c>
      <c r="L63" s="6">
        <v>11900</v>
      </c>
      <c r="M63" s="2">
        <v>75</v>
      </c>
      <c r="N63" s="2">
        <v>1.95</v>
      </c>
      <c r="O63" s="2">
        <v>2.15</v>
      </c>
      <c r="P63" s="2">
        <v>1350</v>
      </c>
      <c r="Q63" s="2">
        <v>0.15</v>
      </c>
      <c r="R63" s="2">
        <v>2.0499999999999998</v>
      </c>
      <c r="S63" s="2">
        <v>52.04</v>
      </c>
      <c r="T63" s="2">
        <v>17442</v>
      </c>
      <c r="U63" s="2">
        <v>-247950</v>
      </c>
      <c r="V63" s="2">
        <v>1146075</v>
      </c>
      <c r="W63" s="2" t="s">
        <v>19</v>
      </c>
    </row>
    <row r="64" spans="1:23">
      <c r="A64" s="1" t="s">
        <v>19</v>
      </c>
      <c r="B64" s="2">
        <v>13350</v>
      </c>
      <c r="C64" s="2">
        <v>-600</v>
      </c>
      <c r="D64" s="2">
        <v>12</v>
      </c>
      <c r="E64" s="1" t="s">
        <v>20</v>
      </c>
      <c r="F64" s="3">
        <v>1110.4000000000001</v>
      </c>
      <c r="G64" s="8">
        <v>125.8</v>
      </c>
      <c r="H64" s="2">
        <v>525</v>
      </c>
      <c r="I64" s="3">
        <v>1121.8</v>
      </c>
      <c r="J64" s="2">
        <v>1137.4000000000001</v>
      </c>
      <c r="K64" s="2">
        <v>600</v>
      </c>
      <c r="L64" s="6">
        <v>11950</v>
      </c>
      <c r="M64" s="2">
        <v>1725</v>
      </c>
      <c r="N64" s="2">
        <v>1.7</v>
      </c>
      <c r="O64" s="2">
        <v>2.25</v>
      </c>
      <c r="P64" s="2">
        <v>525</v>
      </c>
      <c r="Q64" s="2">
        <v>-0.45</v>
      </c>
      <c r="R64" s="2">
        <v>1.7</v>
      </c>
      <c r="S64" s="2">
        <v>50.27</v>
      </c>
      <c r="T64" s="2">
        <v>780</v>
      </c>
      <c r="U64" s="2">
        <v>-4725</v>
      </c>
      <c r="V64" s="2">
        <v>67650</v>
      </c>
      <c r="W64" s="2" t="s">
        <v>19</v>
      </c>
    </row>
    <row r="65" spans="1:23">
      <c r="A65" s="1" t="s">
        <v>19</v>
      </c>
      <c r="B65" s="2">
        <v>818475</v>
      </c>
      <c r="C65" s="2">
        <v>-46950</v>
      </c>
      <c r="D65" s="2">
        <v>1956</v>
      </c>
      <c r="E65" s="1" t="s">
        <v>20</v>
      </c>
      <c r="F65" s="3">
        <v>1078.5</v>
      </c>
      <c r="G65" s="8">
        <v>142.15</v>
      </c>
      <c r="H65" s="2">
        <v>900</v>
      </c>
      <c r="I65" s="3">
        <v>1078.8499999999999</v>
      </c>
      <c r="J65" s="2">
        <v>1083.95</v>
      </c>
      <c r="K65" s="2">
        <v>75</v>
      </c>
      <c r="L65" s="6">
        <v>12000</v>
      </c>
      <c r="M65" s="2">
        <v>3000</v>
      </c>
      <c r="N65" s="2">
        <v>2.35</v>
      </c>
      <c r="O65" s="2">
        <v>2.4500000000000002</v>
      </c>
      <c r="P65" s="2">
        <v>6375</v>
      </c>
      <c r="Q65" s="2">
        <v>-0.1</v>
      </c>
      <c r="R65" s="2">
        <v>2.35</v>
      </c>
      <c r="S65" s="2">
        <v>48.81</v>
      </c>
      <c r="T65" s="2">
        <v>71009</v>
      </c>
      <c r="U65" s="2">
        <v>-311025</v>
      </c>
      <c r="V65" s="2">
        <v>3794850</v>
      </c>
      <c r="W65" s="2" t="s">
        <v>19</v>
      </c>
    </row>
    <row r="66" spans="1:23">
      <c r="A66" s="1" t="s">
        <v>19</v>
      </c>
      <c r="B66" s="2">
        <v>19875</v>
      </c>
      <c r="C66" s="2">
        <v>-525</v>
      </c>
      <c r="D66" s="2">
        <v>10</v>
      </c>
      <c r="E66" s="1" t="s">
        <v>20</v>
      </c>
      <c r="F66" s="3">
        <v>1010.85</v>
      </c>
      <c r="G66" s="8">
        <v>127.1</v>
      </c>
      <c r="H66" s="2">
        <v>150</v>
      </c>
      <c r="I66" s="3">
        <v>1024.05</v>
      </c>
      <c r="J66" s="2">
        <v>1037.5</v>
      </c>
      <c r="K66" s="2">
        <v>75</v>
      </c>
      <c r="L66" s="6">
        <v>12050</v>
      </c>
      <c r="M66" s="2">
        <v>1650</v>
      </c>
      <c r="N66" s="2">
        <v>2.25</v>
      </c>
      <c r="O66" s="2">
        <v>2.6</v>
      </c>
      <c r="P66" s="2">
        <v>1725</v>
      </c>
      <c r="Q66" s="2">
        <v>-0.15</v>
      </c>
      <c r="R66" s="2">
        <v>2.5499999999999998</v>
      </c>
      <c r="S66" s="2">
        <v>46.78</v>
      </c>
      <c r="T66" s="2">
        <v>1807</v>
      </c>
      <c r="U66" s="2">
        <v>30600</v>
      </c>
      <c r="V66" s="2">
        <v>129375</v>
      </c>
      <c r="W66" s="2" t="s">
        <v>19</v>
      </c>
    </row>
    <row r="67" spans="1:23">
      <c r="A67" s="1" t="s">
        <v>19</v>
      </c>
      <c r="B67" s="2">
        <v>424275</v>
      </c>
      <c r="C67" s="2">
        <v>-4875</v>
      </c>
      <c r="D67" s="2">
        <v>334</v>
      </c>
      <c r="E67" s="1" t="s">
        <v>20</v>
      </c>
      <c r="F67" s="1">
        <v>982</v>
      </c>
      <c r="G67" s="8">
        <v>144.4</v>
      </c>
      <c r="H67" s="2">
        <v>825</v>
      </c>
      <c r="I67" s="1">
        <v>982</v>
      </c>
      <c r="J67" s="2">
        <v>985.9</v>
      </c>
      <c r="K67" s="2">
        <v>150</v>
      </c>
      <c r="L67" s="6">
        <v>12100</v>
      </c>
      <c r="M67" s="2">
        <v>6000</v>
      </c>
      <c r="N67" s="2">
        <v>2.4500000000000002</v>
      </c>
      <c r="O67" s="2">
        <v>2.6</v>
      </c>
      <c r="P67" s="2">
        <v>750</v>
      </c>
      <c r="Q67" s="2">
        <v>-0.35</v>
      </c>
      <c r="R67" s="2">
        <v>2.4500000000000002</v>
      </c>
      <c r="S67" s="2">
        <v>45.18</v>
      </c>
      <c r="T67" s="2">
        <v>25960</v>
      </c>
      <c r="U67" s="2">
        <v>-5325</v>
      </c>
      <c r="V67" s="2">
        <v>1060200</v>
      </c>
      <c r="W67" s="2" t="s">
        <v>19</v>
      </c>
    </row>
    <row r="68" spans="1:23">
      <c r="A68" s="1" t="s">
        <v>19</v>
      </c>
      <c r="B68" s="2">
        <v>25650</v>
      </c>
      <c r="C68" s="2" t="s">
        <v>20</v>
      </c>
      <c r="D68" s="2">
        <v>3</v>
      </c>
      <c r="E68" s="1" t="s">
        <v>20</v>
      </c>
      <c r="F68" s="1">
        <v>904</v>
      </c>
      <c r="G68" s="8">
        <v>118.75</v>
      </c>
      <c r="H68" s="2">
        <v>525</v>
      </c>
      <c r="I68" s="1">
        <v>928.05</v>
      </c>
      <c r="J68" s="2">
        <v>937.75</v>
      </c>
      <c r="K68" s="2">
        <v>75</v>
      </c>
      <c r="L68" s="6">
        <v>12150</v>
      </c>
      <c r="M68" s="2">
        <v>300</v>
      </c>
      <c r="N68" s="2">
        <v>2.75</v>
      </c>
      <c r="O68" s="2">
        <v>2.8</v>
      </c>
      <c r="P68" s="2">
        <v>3000</v>
      </c>
      <c r="Q68" s="2">
        <v>0.05</v>
      </c>
      <c r="R68" s="2">
        <v>3</v>
      </c>
      <c r="S68" s="2">
        <v>43.23</v>
      </c>
      <c r="T68" s="2">
        <v>1283</v>
      </c>
      <c r="U68" s="2">
        <v>-4875</v>
      </c>
      <c r="V68" s="2">
        <v>72000</v>
      </c>
      <c r="W68" s="2" t="s">
        <v>19</v>
      </c>
    </row>
    <row r="69" spans="1:23">
      <c r="A69" s="1" t="s">
        <v>19</v>
      </c>
      <c r="B69" s="2">
        <v>397350</v>
      </c>
      <c r="C69" s="2">
        <v>-12750</v>
      </c>
      <c r="D69" s="2">
        <v>638</v>
      </c>
      <c r="E69" s="1" t="s">
        <v>20</v>
      </c>
      <c r="F69" s="1">
        <v>880.35</v>
      </c>
      <c r="G69" s="8">
        <v>143.75</v>
      </c>
      <c r="H69" s="2">
        <v>750</v>
      </c>
      <c r="I69" s="1">
        <v>881.05</v>
      </c>
      <c r="J69" s="2">
        <v>885.2</v>
      </c>
      <c r="K69" s="2">
        <v>150</v>
      </c>
      <c r="L69" s="6">
        <v>12200</v>
      </c>
      <c r="M69" s="2">
        <v>225</v>
      </c>
      <c r="N69" s="2">
        <v>2.75</v>
      </c>
      <c r="O69" s="2">
        <v>2.8</v>
      </c>
      <c r="P69" s="2">
        <v>4950</v>
      </c>
      <c r="Q69" s="2">
        <v>-0.6</v>
      </c>
      <c r="R69" s="2">
        <v>2.75</v>
      </c>
      <c r="S69" s="2">
        <v>41.37</v>
      </c>
      <c r="T69" s="2">
        <v>54477</v>
      </c>
      <c r="U69" s="2">
        <v>218625</v>
      </c>
      <c r="V69" s="2">
        <v>1624350</v>
      </c>
      <c r="W69" s="2" t="s">
        <v>19</v>
      </c>
    </row>
    <row r="70" spans="1:23">
      <c r="A70" s="1" t="s">
        <v>19</v>
      </c>
      <c r="B70" s="2">
        <v>19875</v>
      </c>
      <c r="C70" s="2">
        <v>-300</v>
      </c>
      <c r="D70" s="2">
        <v>26</v>
      </c>
      <c r="E70" s="1" t="s">
        <v>20</v>
      </c>
      <c r="F70" s="1">
        <v>827.85</v>
      </c>
      <c r="G70" s="8">
        <v>136.05000000000001</v>
      </c>
      <c r="H70" s="2">
        <v>675</v>
      </c>
      <c r="I70" s="1">
        <v>829.1</v>
      </c>
      <c r="J70" s="1">
        <v>836.75</v>
      </c>
      <c r="K70" s="2">
        <v>1425</v>
      </c>
      <c r="L70" s="6">
        <v>12250</v>
      </c>
      <c r="M70" s="2">
        <v>4575</v>
      </c>
      <c r="N70" s="2">
        <v>2.8</v>
      </c>
      <c r="O70" s="2">
        <v>3.25</v>
      </c>
      <c r="P70" s="2">
        <v>75</v>
      </c>
      <c r="Q70" s="2">
        <v>-0.9</v>
      </c>
      <c r="R70" s="2">
        <v>2.8</v>
      </c>
      <c r="S70" s="2">
        <v>39.340000000000003</v>
      </c>
      <c r="T70" s="2">
        <v>3324</v>
      </c>
      <c r="U70" s="2">
        <v>7500</v>
      </c>
      <c r="V70" s="2">
        <v>143700</v>
      </c>
      <c r="W70" s="2" t="s">
        <v>19</v>
      </c>
    </row>
    <row r="71" spans="1:23">
      <c r="A71" s="1" t="s">
        <v>19</v>
      </c>
      <c r="B71" s="2">
        <v>297900</v>
      </c>
      <c r="C71" s="2">
        <v>-18150</v>
      </c>
      <c r="D71" s="2">
        <v>799</v>
      </c>
      <c r="E71" s="1" t="s">
        <v>20</v>
      </c>
      <c r="F71" s="1">
        <v>782.3</v>
      </c>
      <c r="G71" s="8">
        <v>143.35</v>
      </c>
      <c r="H71" s="2">
        <v>75</v>
      </c>
      <c r="I71" s="1">
        <v>781.5</v>
      </c>
      <c r="J71" s="1">
        <v>785.35</v>
      </c>
      <c r="K71" s="2">
        <v>150</v>
      </c>
      <c r="L71" s="6">
        <v>12300</v>
      </c>
      <c r="M71" s="2">
        <v>1875</v>
      </c>
      <c r="N71" s="2">
        <v>3.2</v>
      </c>
      <c r="O71" s="2">
        <v>3.4</v>
      </c>
      <c r="P71" s="2">
        <v>1575</v>
      </c>
      <c r="Q71" s="2">
        <v>-1.1000000000000001</v>
      </c>
      <c r="R71" s="2">
        <v>3.2</v>
      </c>
      <c r="S71" s="2">
        <v>37.81</v>
      </c>
      <c r="T71" s="2">
        <v>76801</v>
      </c>
      <c r="U71" s="2">
        <v>233475</v>
      </c>
      <c r="V71" s="2">
        <v>1836975</v>
      </c>
      <c r="W71" s="2" t="s">
        <v>19</v>
      </c>
    </row>
    <row r="72" spans="1:23">
      <c r="A72" s="1" t="s">
        <v>19</v>
      </c>
      <c r="B72" s="2">
        <v>13275</v>
      </c>
      <c r="C72" s="2">
        <v>-450</v>
      </c>
      <c r="D72" s="2">
        <v>17</v>
      </c>
      <c r="E72" s="1" t="s">
        <v>20</v>
      </c>
      <c r="F72" s="1">
        <v>712.05</v>
      </c>
      <c r="G72" s="8">
        <v>122.55</v>
      </c>
      <c r="H72" s="2">
        <v>75</v>
      </c>
      <c r="I72" s="1">
        <v>729</v>
      </c>
      <c r="J72" s="1">
        <v>738.1</v>
      </c>
      <c r="K72" s="2">
        <v>1575</v>
      </c>
      <c r="L72" s="6">
        <v>12350</v>
      </c>
      <c r="M72" s="2">
        <v>75</v>
      </c>
      <c r="N72" s="2">
        <v>3.35</v>
      </c>
      <c r="O72" s="2">
        <v>3.75</v>
      </c>
      <c r="P72" s="2">
        <v>75</v>
      </c>
      <c r="Q72" s="2">
        <v>-1.1499999999999999</v>
      </c>
      <c r="R72" s="2">
        <v>3.55</v>
      </c>
      <c r="S72" s="2">
        <v>35.96</v>
      </c>
      <c r="T72" s="2">
        <v>9555</v>
      </c>
      <c r="U72" s="2">
        <v>-147075</v>
      </c>
      <c r="V72" s="2">
        <v>182025</v>
      </c>
      <c r="W72" s="2" t="s">
        <v>19</v>
      </c>
    </row>
    <row r="73" spans="1:23">
      <c r="A73" s="1" t="s">
        <v>19</v>
      </c>
      <c r="B73" s="2">
        <v>342300</v>
      </c>
      <c r="C73" s="2">
        <v>-14700</v>
      </c>
      <c r="D73" s="2">
        <v>873</v>
      </c>
      <c r="E73" s="1" t="s">
        <v>20</v>
      </c>
      <c r="F73" s="1">
        <v>680</v>
      </c>
      <c r="G73" s="8">
        <v>137.19999999999999</v>
      </c>
      <c r="H73" s="2">
        <v>750</v>
      </c>
      <c r="I73" s="1">
        <v>681.05</v>
      </c>
      <c r="J73" s="1">
        <v>689.7</v>
      </c>
      <c r="K73" s="2">
        <v>2175</v>
      </c>
      <c r="L73" s="6">
        <v>12400</v>
      </c>
      <c r="M73" s="2">
        <v>750</v>
      </c>
      <c r="N73" s="2">
        <v>3.85</v>
      </c>
      <c r="O73" s="2">
        <v>3.95</v>
      </c>
      <c r="P73" s="2">
        <v>225</v>
      </c>
      <c r="Q73" s="2">
        <v>-1.6</v>
      </c>
      <c r="R73" s="2">
        <v>4</v>
      </c>
      <c r="S73" s="2">
        <v>34.200000000000003</v>
      </c>
      <c r="T73" s="2">
        <v>95610</v>
      </c>
      <c r="U73" s="2">
        <v>209250</v>
      </c>
      <c r="V73" s="2">
        <v>2234550</v>
      </c>
      <c r="W73" s="2" t="s">
        <v>19</v>
      </c>
    </row>
    <row r="74" spans="1:23">
      <c r="A74" s="1" t="s">
        <v>19</v>
      </c>
      <c r="B74" s="2">
        <v>27150</v>
      </c>
      <c r="C74" s="2">
        <v>-6600</v>
      </c>
      <c r="D74" s="2">
        <v>139</v>
      </c>
      <c r="E74" s="1" t="s">
        <v>20</v>
      </c>
      <c r="F74" s="1">
        <v>631.5</v>
      </c>
      <c r="G74" s="8">
        <v>137</v>
      </c>
      <c r="H74" s="2">
        <v>150</v>
      </c>
      <c r="I74" s="1">
        <v>630.9</v>
      </c>
      <c r="J74" s="1">
        <v>639.15</v>
      </c>
      <c r="K74" s="2">
        <v>600</v>
      </c>
      <c r="L74" s="6">
        <v>12450</v>
      </c>
      <c r="M74" s="2">
        <v>12075</v>
      </c>
      <c r="N74" s="2">
        <v>4</v>
      </c>
      <c r="O74" s="2">
        <v>4.5</v>
      </c>
      <c r="P74" s="2">
        <v>150</v>
      </c>
      <c r="Q74" s="2">
        <v>-2.65</v>
      </c>
      <c r="R74" s="2">
        <v>4.05</v>
      </c>
      <c r="S74" s="2">
        <v>32.76</v>
      </c>
      <c r="T74" s="2">
        <v>21312</v>
      </c>
      <c r="U74" s="2">
        <v>-427950</v>
      </c>
      <c r="V74" s="2">
        <v>491550</v>
      </c>
      <c r="W74" s="2" t="s">
        <v>19</v>
      </c>
    </row>
    <row r="75" spans="1:23">
      <c r="A75" s="1" t="s">
        <v>19</v>
      </c>
      <c r="B75" s="2">
        <v>874200</v>
      </c>
      <c r="C75" s="2">
        <v>-87225</v>
      </c>
      <c r="D75" s="2">
        <v>2914</v>
      </c>
      <c r="E75" s="1" t="s">
        <v>20</v>
      </c>
      <c r="F75" s="1">
        <v>585</v>
      </c>
      <c r="G75" s="8">
        <v>141.80000000000001</v>
      </c>
      <c r="H75" s="2">
        <v>600</v>
      </c>
      <c r="I75" s="1">
        <v>583</v>
      </c>
      <c r="J75" s="1">
        <v>585</v>
      </c>
      <c r="K75" s="2">
        <v>150</v>
      </c>
      <c r="L75" s="6">
        <v>12500</v>
      </c>
      <c r="M75" s="2">
        <v>3075</v>
      </c>
      <c r="N75" s="2">
        <v>4.55</v>
      </c>
      <c r="O75" s="2">
        <v>4.7</v>
      </c>
      <c r="P75" s="2">
        <v>5775</v>
      </c>
      <c r="Q75" s="2">
        <v>-4</v>
      </c>
      <c r="R75" s="2">
        <v>4.5999999999999996</v>
      </c>
      <c r="S75" s="2">
        <v>31.54</v>
      </c>
      <c r="T75" s="2">
        <v>134507</v>
      </c>
      <c r="U75" s="2">
        <v>51825</v>
      </c>
      <c r="V75" s="2">
        <v>3458325</v>
      </c>
      <c r="W75" s="2" t="s">
        <v>19</v>
      </c>
    </row>
    <row r="76" spans="1:23">
      <c r="A76" s="1" t="s">
        <v>19</v>
      </c>
      <c r="B76" s="2">
        <v>14175</v>
      </c>
      <c r="C76" s="2">
        <v>-4125</v>
      </c>
      <c r="D76" s="2">
        <v>111</v>
      </c>
      <c r="E76" s="1" t="s">
        <v>20</v>
      </c>
      <c r="F76" s="1">
        <v>527.9</v>
      </c>
      <c r="G76" s="8">
        <v>134.65</v>
      </c>
      <c r="H76" s="2">
        <v>75</v>
      </c>
      <c r="I76" s="1">
        <v>532.45000000000005</v>
      </c>
      <c r="J76" s="1">
        <v>537.25</v>
      </c>
      <c r="K76" s="2">
        <v>300</v>
      </c>
      <c r="L76" s="6">
        <v>12550</v>
      </c>
      <c r="M76" s="2">
        <v>75</v>
      </c>
      <c r="N76" s="2">
        <v>5</v>
      </c>
      <c r="O76" s="2">
        <v>5.15</v>
      </c>
      <c r="P76" s="2">
        <v>150</v>
      </c>
      <c r="Q76" s="2">
        <v>-6.1</v>
      </c>
      <c r="R76" s="2">
        <v>5.0999999999999996</v>
      </c>
      <c r="S76" s="2">
        <v>30.27</v>
      </c>
      <c r="T76" s="2">
        <v>41754</v>
      </c>
      <c r="U76" s="2">
        <v>-50850</v>
      </c>
      <c r="V76" s="2">
        <v>598650</v>
      </c>
      <c r="W76" s="2" t="s">
        <v>19</v>
      </c>
    </row>
    <row r="77" spans="1:23">
      <c r="A77" s="1" t="s">
        <v>19</v>
      </c>
      <c r="B77" s="2">
        <v>744150</v>
      </c>
      <c r="C77" s="2">
        <v>-101775</v>
      </c>
      <c r="D77" s="2">
        <v>4917</v>
      </c>
      <c r="E77" s="1" t="s">
        <v>20</v>
      </c>
      <c r="F77" s="1">
        <v>484.95</v>
      </c>
      <c r="G77" s="8">
        <v>134.80000000000001</v>
      </c>
      <c r="H77" s="2">
        <v>3525</v>
      </c>
      <c r="I77" s="1">
        <v>482.15</v>
      </c>
      <c r="J77" s="1">
        <v>488.5</v>
      </c>
      <c r="K77" s="2">
        <v>450</v>
      </c>
      <c r="L77" s="6">
        <v>12600</v>
      </c>
      <c r="M77" s="2">
        <v>525</v>
      </c>
      <c r="N77" s="2">
        <v>5.65</v>
      </c>
      <c r="O77" s="2">
        <v>5.8</v>
      </c>
      <c r="P77" s="2">
        <v>2025</v>
      </c>
      <c r="Q77" s="2">
        <v>-8.9</v>
      </c>
      <c r="R77" s="2">
        <v>5.65</v>
      </c>
      <c r="S77" s="2">
        <v>29.35</v>
      </c>
      <c r="T77" s="2">
        <v>160335</v>
      </c>
      <c r="U77" s="2">
        <v>63825</v>
      </c>
      <c r="V77" s="2">
        <v>3001125</v>
      </c>
      <c r="W77" s="2" t="s">
        <v>19</v>
      </c>
    </row>
    <row r="78" spans="1:23">
      <c r="A78" s="1" t="s">
        <v>19</v>
      </c>
      <c r="B78" s="2">
        <v>28650</v>
      </c>
      <c r="C78" s="2">
        <v>-5775</v>
      </c>
      <c r="D78" s="2">
        <v>393</v>
      </c>
      <c r="E78" s="1" t="s">
        <v>20</v>
      </c>
      <c r="F78" s="1">
        <v>435</v>
      </c>
      <c r="G78" s="8">
        <v>131.65</v>
      </c>
      <c r="H78" s="2">
        <v>75</v>
      </c>
      <c r="I78" s="1">
        <v>421.25</v>
      </c>
      <c r="J78" s="1">
        <v>444.25</v>
      </c>
      <c r="K78" s="2">
        <v>75</v>
      </c>
      <c r="L78" s="6">
        <v>12650</v>
      </c>
      <c r="M78" s="2">
        <v>825</v>
      </c>
      <c r="N78" s="2">
        <v>6.45</v>
      </c>
      <c r="O78" s="2">
        <v>6.7</v>
      </c>
      <c r="P78" s="2">
        <v>150</v>
      </c>
      <c r="Q78" s="2">
        <v>-12.5</v>
      </c>
      <c r="R78" s="2">
        <v>6.45</v>
      </c>
      <c r="S78" s="2">
        <v>28.34</v>
      </c>
      <c r="T78" s="2">
        <v>67096</v>
      </c>
      <c r="U78" s="2">
        <v>70275</v>
      </c>
      <c r="V78" s="2">
        <v>690600</v>
      </c>
      <c r="W78" s="2" t="s">
        <v>19</v>
      </c>
    </row>
    <row r="79" spans="1:23">
      <c r="A79" s="1" t="s">
        <v>19</v>
      </c>
      <c r="B79" s="2">
        <v>778800</v>
      </c>
      <c r="C79" s="2">
        <v>-138375</v>
      </c>
      <c r="D79" s="2">
        <v>7671</v>
      </c>
      <c r="E79" s="1">
        <v>17.18</v>
      </c>
      <c r="F79" s="1">
        <v>387</v>
      </c>
      <c r="G79" s="8">
        <v>127.3</v>
      </c>
      <c r="H79" s="2">
        <v>450</v>
      </c>
      <c r="I79" s="1">
        <v>385.9</v>
      </c>
      <c r="J79" s="1">
        <v>389.45</v>
      </c>
      <c r="K79" s="2">
        <v>300</v>
      </c>
      <c r="L79" s="6">
        <v>12700</v>
      </c>
      <c r="M79" s="2">
        <v>1500</v>
      </c>
      <c r="N79" s="2">
        <v>7.6</v>
      </c>
      <c r="O79" s="2">
        <v>7.85</v>
      </c>
      <c r="P79" s="2">
        <v>150</v>
      </c>
      <c r="Q79" s="2">
        <v>-17.100000000000001</v>
      </c>
      <c r="R79" s="2">
        <v>7.75</v>
      </c>
      <c r="S79" s="2">
        <v>27.42</v>
      </c>
      <c r="T79" s="2">
        <v>247318</v>
      </c>
      <c r="U79" s="2">
        <v>73500</v>
      </c>
      <c r="V79" s="2">
        <v>3283350</v>
      </c>
      <c r="W79" s="2" t="s">
        <v>19</v>
      </c>
    </row>
    <row r="80" spans="1:23">
      <c r="A80" s="1" t="s">
        <v>19</v>
      </c>
      <c r="B80" s="2">
        <v>82200</v>
      </c>
      <c r="C80" s="2">
        <v>-15300</v>
      </c>
      <c r="D80" s="2">
        <v>1723</v>
      </c>
      <c r="E80" s="1">
        <v>19.21</v>
      </c>
      <c r="F80" s="1">
        <v>343</v>
      </c>
      <c r="G80" s="8">
        <v>125.3</v>
      </c>
      <c r="H80" s="2">
        <v>600</v>
      </c>
      <c r="I80" s="1">
        <v>336.7</v>
      </c>
      <c r="J80" s="1">
        <v>341.15</v>
      </c>
      <c r="K80" s="2">
        <v>75</v>
      </c>
      <c r="L80" s="6">
        <v>12750</v>
      </c>
      <c r="M80" s="2">
        <v>225</v>
      </c>
      <c r="N80" s="2">
        <v>9.35</v>
      </c>
      <c r="O80" s="2">
        <v>9.8000000000000007</v>
      </c>
      <c r="P80" s="2">
        <v>75</v>
      </c>
      <c r="Q80" s="2">
        <v>-23.35</v>
      </c>
      <c r="R80" s="2">
        <v>9.3000000000000007</v>
      </c>
      <c r="S80" s="2">
        <v>26.51</v>
      </c>
      <c r="T80" s="2">
        <v>102135</v>
      </c>
      <c r="U80" s="2">
        <v>-61200</v>
      </c>
      <c r="V80" s="2">
        <v>956700</v>
      </c>
      <c r="W80" s="2" t="s">
        <v>19</v>
      </c>
    </row>
    <row r="81" spans="1:23">
      <c r="A81" s="1" t="s">
        <v>19</v>
      </c>
      <c r="B81" s="2">
        <v>1026675</v>
      </c>
      <c r="C81" s="2">
        <v>-481500</v>
      </c>
      <c r="D81" s="2">
        <v>37816</v>
      </c>
      <c r="E81" s="1">
        <v>20.34</v>
      </c>
      <c r="F81" s="1">
        <v>292.64999999999998</v>
      </c>
      <c r="G81" s="8">
        <v>114.5</v>
      </c>
      <c r="H81" s="2">
        <v>75</v>
      </c>
      <c r="I81" s="1">
        <v>291.14999999999998</v>
      </c>
      <c r="J81" s="1">
        <v>292.35000000000002</v>
      </c>
      <c r="K81" s="2">
        <v>75</v>
      </c>
      <c r="L81" s="6">
        <v>12800</v>
      </c>
      <c r="M81" s="2">
        <v>375</v>
      </c>
      <c r="N81" s="2">
        <v>12.35</v>
      </c>
      <c r="O81" s="2">
        <v>12.45</v>
      </c>
      <c r="P81" s="2">
        <v>4200</v>
      </c>
      <c r="Q81" s="2">
        <v>-30.4</v>
      </c>
      <c r="R81" s="2">
        <v>12.45</v>
      </c>
      <c r="S81" s="2">
        <v>25.64</v>
      </c>
      <c r="T81" s="2">
        <v>358149</v>
      </c>
      <c r="U81" s="2">
        <v>446475</v>
      </c>
      <c r="V81" s="2">
        <v>4465950</v>
      </c>
      <c r="W81" s="2" t="s">
        <v>19</v>
      </c>
    </row>
    <row r="82" spans="1:23">
      <c r="A82" s="1" t="s">
        <v>19</v>
      </c>
      <c r="B82" s="2">
        <v>243675</v>
      </c>
      <c r="C82" s="2">
        <v>-176250</v>
      </c>
      <c r="D82" s="2">
        <v>14260</v>
      </c>
      <c r="E82" s="1">
        <v>20.56</v>
      </c>
      <c r="F82" s="1">
        <v>244.45</v>
      </c>
      <c r="G82" s="8">
        <v>103.45</v>
      </c>
      <c r="H82" s="2">
        <v>225</v>
      </c>
      <c r="I82" s="1">
        <v>244.25</v>
      </c>
      <c r="J82" s="1">
        <v>248.5</v>
      </c>
      <c r="K82" s="2">
        <v>450</v>
      </c>
      <c r="L82" s="6">
        <v>12850</v>
      </c>
      <c r="M82" s="2">
        <v>75</v>
      </c>
      <c r="N82" s="2">
        <v>16.2</v>
      </c>
      <c r="O82" s="2">
        <v>16.5</v>
      </c>
      <c r="P82" s="2">
        <v>1200</v>
      </c>
      <c r="Q82" s="2">
        <v>-39.549999999999997</v>
      </c>
      <c r="R82" s="2">
        <v>16.2</v>
      </c>
      <c r="S82" s="2">
        <v>24.68</v>
      </c>
      <c r="T82" s="2">
        <v>157365</v>
      </c>
      <c r="U82" s="2">
        <v>597975</v>
      </c>
      <c r="V82" s="2">
        <v>1449300</v>
      </c>
      <c r="W82" s="2" t="s">
        <v>19</v>
      </c>
    </row>
    <row r="83" spans="1:23">
      <c r="A83" s="1" t="s">
        <v>19</v>
      </c>
      <c r="B83" s="2">
        <v>1540125</v>
      </c>
      <c r="C83" s="2">
        <v>-1006575</v>
      </c>
      <c r="D83" s="2">
        <v>159242</v>
      </c>
      <c r="E83" s="1">
        <v>20.399999999999999</v>
      </c>
      <c r="F83" s="1">
        <v>203</v>
      </c>
      <c r="G83" s="8">
        <v>94.95</v>
      </c>
      <c r="H83" s="2">
        <v>450</v>
      </c>
      <c r="I83" s="1">
        <v>200.5</v>
      </c>
      <c r="J83" s="1">
        <v>202.85</v>
      </c>
      <c r="K83" s="2">
        <v>75</v>
      </c>
      <c r="L83" s="6">
        <v>12900</v>
      </c>
      <c r="M83" s="2">
        <v>75</v>
      </c>
      <c r="N83" s="2">
        <v>21.4</v>
      </c>
      <c r="O83" s="2">
        <v>22.2</v>
      </c>
      <c r="P83" s="2">
        <v>75</v>
      </c>
      <c r="Q83" s="2">
        <v>-50.6</v>
      </c>
      <c r="R83" s="2">
        <v>22.2</v>
      </c>
      <c r="S83" s="2">
        <v>24.11</v>
      </c>
      <c r="T83" s="2">
        <v>480769</v>
      </c>
      <c r="U83" s="2">
        <v>982725</v>
      </c>
      <c r="V83" s="2">
        <v>3499650</v>
      </c>
      <c r="W83" s="2" t="s">
        <v>19</v>
      </c>
    </row>
    <row r="84" spans="1:23">
      <c r="A84" s="1" t="s">
        <v>19</v>
      </c>
      <c r="B84" s="2">
        <v>454125</v>
      </c>
      <c r="C84" s="2">
        <v>-519600</v>
      </c>
      <c r="D84" s="2">
        <v>93848</v>
      </c>
      <c r="E84" s="1">
        <v>20.16</v>
      </c>
      <c r="F84" s="1">
        <v>158.05000000000001</v>
      </c>
      <c r="G84" s="8">
        <v>77.8</v>
      </c>
      <c r="H84" s="2">
        <v>300</v>
      </c>
      <c r="I84" s="1">
        <v>158.05000000000001</v>
      </c>
      <c r="J84" s="1">
        <v>163.25</v>
      </c>
      <c r="K84" s="2">
        <v>75</v>
      </c>
      <c r="L84" s="6">
        <v>12950</v>
      </c>
      <c r="M84" s="2">
        <v>150</v>
      </c>
      <c r="N84" s="2">
        <v>30.6</v>
      </c>
      <c r="O84" s="2">
        <v>31</v>
      </c>
      <c r="P84" s="2">
        <v>2775</v>
      </c>
      <c r="Q84" s="2">
        <v>-64.150000000000006</v>
      </c>
      <c r="R84" s="2">
        <v>31</v>
      </c>
      <c r="S84" s="2">
        <v>23.71</v>
      </c>
      <c r="T84" s="2">
        <v>209622</v>
      </c>
      <c r="U84" s="2">
        <v>663900</v>
      </c>
      <c r="V84" s="2">
        <v>1155000</v>
      </c>
      <c r="W84" s="2" t="s">
        <v>19</v>
      </c>
    </row>
    <row r="85" spans="1:23">
      <c r="A85" s="1" t="s">
        <v>19</v>
      </c>
      <c r="B85" s="2">
        <v>3334875</v>
      </c>
      <c r="C85" s="2">
        <v>-334875</v>
      </c>
      <c r="D85" s="2">
        <v>647723</v>
      </c>
      <c r="E85" s="1">
        <v>20.12</v>
      </c>
      <c r="F85" s="1">
        <v>123.05</v>
      </c>
      <c r="G85" s="8">
        <v>66.2</v>
      </c>
      <c r="H85" s="2">
        <v>1275</v>
      </c>
      <c r="I85" s="1">
        <v>123</v>
      </c>
      <c r="J85" s="1">
        <v>124.2</v>
      </c>
      <c r="K85" s="2">
        <v>4425</v>
      </c>
      <c r="L85" s="6">
        <v>13000</v>
      </c>
      <c r="M85" s="2">
        <v>150</v>
      </c>
      <c r="N85" s="2">
        <v>44.1</v>
      </c>
      <c r="O85" s="2">
        <v>44.25</v>
      </c>
      <c r="P85" s="2">
        <v>75</v>
      </c>
      <c r="Q85" s="2">
        <v>-77.45</v>
      </c>
      <c r="R85" s="2">
        <v>44.1</v>
      </c>
      <c r="S85" s="2">
        <v>23.36</v>
      </c>
      <c r="T85" s="2">
        <v>691443</v>
      </c>
      <c r="U85" s="2">
        <v>2924925</v>
      </c>
      <c r="V85" s="2">
        <v>3973650</v>
      </c>
      <c r="W85" s="2" t="s">
        <v>19</v>
      </c>
    </row>
    <row r="86" spans="1:23">
      <c r="A86" s="1" t="s">
        <v>19</v>
      </c>
      <c r="B86" s="2">
        <v>884250</v>
      </c>
      <c r="C86" s="2">
        <v>157725</v>
      </c>
      <c r="D86" s="2">
        <v>311738</v>
      </c>
      <c r="E86" s="1">
        <v>19.760000000000002</v>
      </c>
      <c r="F86" s="1">
        <v>90.65</v>
      </c>
      <c r="G86" s="8">
        <v>52.15</v>
      </c>
      <c r="H86" s="2">
        <v>1500</v>
      </c>
      <c r="I86" s="1">
        <v>90.75</v>
      </c>
      <c r="J86" s="1">
        <v>94.4</v>
      </c>
      <c r="K86" s="2">
        <v>4500</v>
      </c>
      <c r="L86" s="6">
        <v>13050</v>
      </c>
      <c r="M86" s="2">
        <v>75</v>
      </c>
      <c r="N86" s="2">
        <v>61.45</v>
      </c>
      <c r="O86" s="2">
        <v>62</v>
      </c>
      <c r="P86" s="2">
        <v>375</v>
      </c>
      <c r="Q86" s="2">
        <v>-91.45</v>
      </c>
      <c r="R86" s="2">
        <v>62</v>
      </c>
      <c r="S86" s="2">
        <v>23.04</v>
      </c>
      <c r="T86" s="2">
        <v>174659</v>
      </c>
      <c r="U86" s="2">
        <v>638625</v>
      </c>
      <c r="V86" s="2">
        <v>672300</v>
      </c>
      <c r="W86" s="2" t="s">
        <v>19</v>
      </c>
    </row>
    <row r="87" spans="1:23">
      <c r="A87" s="1" t="s">
        <v>19</v>
      </c>
      <c r="B87" s="2">
        <v>1976475</v>
      </c>
      <c r="C87" s="2">
        <v>-217425</v>
      </c>
      <c r="D87" s="2">
        <v>544032</v>
      </c>
      <c r="E87" s="1">
        <v>19.63</v>
      </c>
      <c r="F87" s="1">
        <v>64</v>
      </c>
      <c r="G87" s="8">
        <v>38.4</v>
      </c>
      <c r="H87" s="2">
        <v>900</v>
      </c>
      <c r="I87" s="1">
        <v>64</v>
      </c>
      <c r="J87" s="1">
        <v>65</v>
      </c>
      <c r="K87" s="2">
        <v>2850</v>
      </c>
      <c r="L87" s="6">
        <v>13100</v>
      </c>
      <c r="M87" s="2">
        <v>75</v>
      </c>
      <c r="N87" s="2">
        <v>84.1</v>
      </c>
      <c r="O87" s="2">
        <v>84.5</v>
      </c>
      <c r="P87" s="2">
        <v>75</v>
      </c>
      <c r="Q87" s="2">
        <v>-105.45</v>
      </c>
      <c r="R87" s="2">
        <v>84.35</v>
      </c>
      <c r="S87" s="2">
        <v>23.1</v>
      </c>
      <c r="T87" s="2">
        <v>119730</v>
      </c>
      <c r="U87" s="2">
        <v>530325</v>
      </c>
      <c r="V87" s="2">
        <v>634200</v>
      </c>
      <c r="W87" s="2" t="s">
        <v>19</v>
      </c>
    </row>
    <row r="88" spans="1:23">
      <c r="A88" s="1" t="s">
        <v>19</v>
      </c>
      <c r="B88" s="2">
        <v>1109850</v>
      </c>
      <c r="C88" s="2">
        <v>115425</v>
      </c>
      <c r="D88" s="2">
        <v>204441</v>
      </c>
      <c r="E88" s="1">
        <v>19.45</v>
      </c>
      <c r="F88" s="1">
        <v>43.65</v>
      </c>
      <c r="G88" s="8">
        <v>27.4</v>
      </c>
      <c r="H88" s="2">
        <v>450</v>
      </c>
      <c r="I88" s="1">
        <v>43.15</v>
      </c>
      <c r="J88" s="1">
        <v>43.55</v>
      </c>
      <c r="K88" s="2">
        <v>300</v>
      </c>
      <c r="L88" s="6">
        <v>13150</v>
      </c>
      <c r="M88" s="2">
        <v>525</v>
      </c>
      <c r="N88" s="2">
        <v>112</v>
      </c>
      <c r="O88" s="2">
        <v>113.75</v>
      </c>
      <c r="P88" s="2">
        <v>150</v>
      </c>
      <c r="Q88" s="2">
        <v>-117.2</v>
      </c>
      <c r="R88" s="2">
        <v>112</v>
      </c>
      <c r="S88" s="2">
        <v>23.69</v>
      </c>
      <c r="T88" s="2">
        <v>9154</v>
      </c>
      <c r="U88" s="2">
        <v>58875</v>
      </c>
      <c r="V88" s="2">
        <v>65325</v>
      </c>
      <c r="W88" s="2" t="s">
        <v>19</v>
      </c>
    </row>
    <row r="89" spans="1:23">
      <c r="A89" s="1" t="s">
        <v>19</v>
      </c>
      <c r="B89" s="2">
        <v>3066150</v>
      </c>
      <c r="C89" s="2">
        <v>-104775</v>
      </c>
      <c r="D89" s="2">
        <v>464007</v>
      </c>
      <c r="E89" s="1">
        <v>19.38</v>
      </c>
      <c r="F89" s="1">
        <v>27</v>
      </c>
      <c r="G89" s="8">
        <v>16.8</v>
      </c>
      <c r="H89" s="2">
        <v>75</v>
      </c>
      <c r="I89" s="1">
        <v>26.05</v>
      </c>
      <c r="J89" s="1">
        <v>27</v>
      </c>
      <c r="K89" s="2">
        <v>75</v>
      </c>
      <c r="L89" s="6">
        <v>13200</v>
      </c>
      <c r="M89" s="2">
        <v>75</v>
      </c>
      <c r="N89" s="2">
        <v>145.05000000000001</v>
      </c>
      <c r="O89" s="2">
        <v>146.9</v>
      </c>
      <c r="P89" s="2">
        <v>525</v>
      </c>
      <c r="Q89" s="2">
        <v>-126.65</v>
      </c>
      <c r="R89" s="2">
        <v>146.9</v>
      </c>
      <c r="S89" s="2">
        <v>24.3</v>
      </c>
      <c r="T89" s="2">
        <v>23276</v>
      </c>
      <c r="U89" s="2">
        <v>133575</v>
      </c>
      <c r="V89" s="2">
        <v>206925</v>
      </c>
      <c r="W89" s="2" t="s">
        <v>19</v>
      </c>
    </row>
    <row r="90" spans="1:23">
      <c r="A90" s="1" t="s">
        <v>19</v>
      </c>
      <c r="B90" s="2">
        <v>1418400</v>
      </c>
      <c r="C90" s="2">
        <v>139800</v>
      </c>
      <c r="D90" s="2">
        <v>144341</v>
      </c>
      <c r="E90" s="1">
        <v>19.27</v>
      </c>
      <c r="F90" s="1">
        <v>15.95</v>
      </c>
      <c r="G90" s="8">
        <v>10</v>
      </c>
      <c r="H90" s="2">
        <v>75</v>
      </c>
      <c r="I90" s="1">
        <v>15.4</v>
      </c>
      <c r="J90" s="1">
        <v>15.95</v>
      </c>
      <c r="K90" s="2">
        <v>75</v>
      </c>
      <c r="L90" s="6">
        <v>13250</v>
      </c>
      <c r="M90" s="2">
        <v>75</v>
      </c>
      <c r="N90" s="2">
        <v>182.55</v>
      </c>
      <c r="O90" s="2">
        <v>193.35</v>
      </c>
      <c r="P90" s="2">
        <v>75</v>
      </c>
      <c r="Q90" s="2">
        <v>-134.35</v>
      </c>
      <c r="R90" s="2">
        <v>186</v>
      </c>
      <c r="S90" s="2">
        <v>24.68</v>
      </c>
      <c r="T90" s="2">
        <v>504</v>
      </c>
      <c r="U90" s="2">
        <v>6000</v>
      </c>
      <c r="V90" s="2">
        <v>8175</v>
      </c>
      <c r="W90" s="2" t="s">
        <v>19</v>
      </c>
    </row>
    <row r="91" spans="1:23">
      <c r="A91" s="1" t="s">
        <v>19</v>
      </c>
      <c r="B91" s="2">
        <v>2457900</v>
      </c>
      <c r="C91" s="2">
        <v>393075</v>
      </c>
      <c r="D91" s="2">
        <v>248139</v>
      </c>
      <c r="E91" s="1">
        <v>19.57</v>
      </c>
      <c r="F91" s="1">
        <v>8.6</v>
      </c>
      <c r="G91" s="8">
        <v>4.75</v>
      </c>
      <c r="H91" s="2">
        <v>75</v>
      </c>
      <c r="I91" s="1">
        <v>8.6</v>
      </c>
      <c r="J91" s="1">
        <v>8.8000000000000007</v>
      </c>
      <c r="K91" s="2">
        <v>2025</v>
      </c>
      <c r="L91" s="6">
        <v>13300</v>
      </c>
      <c r="M91" s="2">
        <v>75</v>
      </c>
      <c r="N91" s="2">
        <v>209.7</v>
      </c>
      <c r="O91" s="2">
        <v>231.3</v>
      </c>
      <c r="P91" s="2">
        <v>75</v>
      </c>
      <c r="Q91" s="2">
        <v>-168.6</v>
      </c>
      <c r="R91" s="2">
        <v>203.8</v>
      </c>
      <c r="S91" s="2">
        <v>26.39</v>
      </c>
      <c r="T91" s="2">
        <v>2745</v>
      </c>
      <c r="U91" s="2">
        <v>15600</v>
      </c>
      <c r="V91" s="2">
        <v>33300</v>
      </c>
      <c r="W91" s="2" t="s">
        <v>19</v>
      </c>
    </row>
    <row r="92" spans="1:23">
      <c r="A92" s="1" t="s">
        <v>19</v>
      </c>
      <c r="B92" s="2">
        <v>628275</v>
      </c>
      <c r="C92" s="2">
        <v>192525</v>
      </c>
      <c r="D92" s="2">
        <v>67650</v>
      </c>
      <c r="E92" s="1">
        <v>20.079999999999998</v>
      </c>
      <c r="F92" s="1">
        <v>4.6500000000000004</v>
      </c>
      <c r="G92" s="8">
        <v>2.15</v>
      </c>
      <c r="H92" s="2">
        <v>150</v>
      </c>
      <c r="I92" s="1">
        <v>4.5999999999999996</v>
      </c>
      <c r="J92" s="1">
        <v>4.6500000000000004</v>
      </c>
      <c r="K92" s="2">
        <v>2400</v>
      </c>
      <c r="L92" s="6">
        <v>13350</v>
      </c>
      <c r="M92" s="2">
        <v>75</v>
      </c>
      <c r="N92" s="2">
        <v>267.5</v>
      </c>
      <c r="O92" s="2">
        <v>282.60000000000002</v>
      </c>
      <c r="P92" s="2">
        <v>75</v>
      </c>
      <c r="Q92" s="2">
        <v>-141.6</v>
      </c>
      <c r="R92" s="2">
        <v>278.10000000000002</v>
      </c>
      <c r="S92" s="2">
        <v>36.47</v>
      </c>
      <c r="T92" s="2">
        <v>231</v>
      </c>
      <c r="U92" s="2">
        <v>12900</v>
      </c>
      <c r="V92" s="2">
        <v>14100</v>
      </c>
      <c r="W92" s="2" t="s">
        <v>19</v>
      </c>
    </row>
    <row r="93" spans="1:23">
      <c r="A93" s="1" t="s">
        <v>19</v>
      </c>
      <c r="B93" s="2">
        <v>2101275</v>
      </c>
      <c r="C93" s="2">
        <v>119850</v>
      </c>
      <c r="D93" s="2">
        <v>117063</v>
      </c>
      <c r="E93" s="1">
        <v>20.76</v>
      </c>
      <c r="F93" s="1">
        <v>2.7</v>
      </c>
      <c r="G93" s="8">
        <v>0.9</v>
      </c>
      <c r="H93" s="2">
        <v>16275</v>
      </c>
      <c r="I93" s="1">
        <v>2.7</v>
      </c>
      <c r="J93" s="1">
        <v>2.85</v>
      </c>
      <c r="K93" s="2">
        <v>375</v>
      </c>
      <c r="L93" s="6">
        <v>13400</v>
      </c>
      <c r="M93" s="2">
        <v>375</v>
      </c>
      <c r="N93" s="2">
        <v>320.39999999999998</v>
      </c>
      <c r="O93" s="2">
        <v>322</v>
      </c>
      <c r="P93" s="2">
        <v>75</v>
      </c>
      <c r="Q93" s="2">
        <v>-142.55000000000001</v>
      </c>
      <c r="R93" s="2">
        <v>326.10000000000002</v>
      </c>
      <c r="S93" s="2">
        <v>27.56</v>
      </c>
      <c r="T93" s="2">
        <v>218</v>
      </c>
      <c r="U93" s="2">
        <v>450</v>
      </c>
      <c r="V93" s="2">
        <v>8475</v>
      </c>
      <c r="W93" s="2" t="s">
        <v>19</v>
      </c>
    </row>
    <row r="94" spans="1:23">
      <c r="A94" s="1" t="s">
        <v>19</v>
      </c>
      <c r="B94" s="2">
        <v>207300</v>
      </c>
      <c r="C94" s="2">
        <v>58650</v>
      </c>
      <c r="D94" s="2">
        <v>11223</v>
      </c>
      <c r="E94" s="1">
        <v>22.12</v>
      </c>
      <c r="F94" s="1">
        <v>1.85</v>
      </c>
      <c r="G94" s="8">
        <v>0.2</v>
      </c>
      <c r="H94" s="2">
        <v>75</v>
      </c>
      <c r="I94" s="1">
        <v>1.55</v>
      </c>
      <c r="J94" s="1">
        <v>1.95</v>
      </c>
      <c r="K94" s="2">
        <v>2625</v>
      </c>
      <c r="L94" s="6">
        <v>13450</v>
      </c>
      <c r="M94" s="2">
        <v>150</v>
      </c>
      <c r="N94" s="2">
        <v>364.65</v>
      </c>
      <c r="O94" s="2">
        <v>376</v>
      </c>
      <c r="P94" s="2">
        <v>150</v>
      </c>
      <c r="Q94" s="2">
        <v>-138.65</v>
      </c>
      <c r="R94" s="2">
        <v>411.1</v>
      </c>
      <c r="S94" s="2" t="s">
        <v>20</v>
      </c>
      <c r="T94" s="2">
        <v>1</v>
      </c>
      <c r="U94" s="2" t="s">
        <v>20</v>
      </c>
      <c r="V94" s="2">
        <v>225</v>
      </c>
      <c r="W94" s="2" t="s">
        <v>19</v>
      </c>
    </row>
    <row r="95" spans="1:23" s="4" customFormat="1">
      <c r="A95" s="1" t="s">
        <v>19</v>
      </c>
      <c r="B95" s="2">
        <v>3408225</v>
      </c>
      <c r="C95" s="2">
        <v>-724500</v>
      </c>
      <c r="D95" s="2">
        <v>117005</v>
      </c>
      <c r="E95" s="1">
        <v>23.87</v>
      </c>
      <c r="F95" s="1">
        <v>1.45</v>
      </c>
      <c r="G95" s="8">
        <v>-0.15</v>
      </c>
      <c r="H95" s="2">
        <v>22350</v>
      </c>
      <c r="I95" s="1">
        <v>1.35</v>
      </c>
      <c r="J95" s="1">
        <v>1.5</v>
      </c>
      <c r="K95" s="2">
        <v>2250</v>
      </c>
      <c r="L95" s="6">
        <v>13500</v>
      </c>
      <c r="M95" s="2">
        <v>75</v>
      </c>
      <c r="N95" s="2">
        <v>419.35</v>
      </c>
      <c r="O95" s="2">
        <v>422</v>
      </c>
      <c r="P95" s="2">
        <v>150</v>
      </c>
      <c r="Q95" s="2">
        <v>-144.69999999999999</v>
      </c>
      <c r="R95" s="2">
        <v>421.65</v>
      </c>
      <c r="S95" s="2">
        <v>35.729999999999997</v>
      </c>
      <c r="T95" s="2">
        <v>1107</v>
      </c>
      <c r="U95" s="2">
        <v>8100</v>
      </c>
      <c r="V95" s="2">
        <v>98025</v>
      </c>
      <c r="W95" s="2" t="s">
        <v>19</v>
      </c>
    </row>
    <row r="96" spans="1:23">
      <c r="A96" s="1" t="s">
        <v>19</v>
      </c>
      <c r="B96" s="2">
        <v>44700</v>
      </c>
      <c r="C96" s="2">
        <v>13500</v>
      </c>
      <c r="D96" s="2">
        <v>3627</v>
      </c>
      <c r="E96" s="1">
        <v>25.27</v>
      </c>
      <c r="F96" s="1">
        <v>1.45</v>
      </c>
      <c r="G96" s="8" t="s">
        <v>20</v>
      </c>
      <c r="H96" s="2">
        <v>75</v>
      </c>
      <c r="I96" s="1">
        <v>1.05</v>
      </c>
      <c r="J96" s="1">
        <v>1.5</v>
      </c>
      <c r="K96" s="2">
        <v>150</v>
      </c>
      <c r="L96" s="6">
        <v>13550</v>
      </c>
      <c r="M96" s="2">
        <v>75</v>
      </c>
      <c r="N96" s="2">
        <v>462.5</v>
      </c>
      <c r="O96" s="2">
        <v>478.8</v>
      </c>
      <c r="P96" s="2">
        <v>150</v>
      </c>
      <c r="Q96" s="2">
        <v>-92.3</v>
      </c>
      <c r="R96" s="2">
        <v>493.5</v>
      </c>
      <c r="S96" s="2" t="s">
        <v>20</v>
      </c>
      <c r="T96" s="2">
        <v>2</v>
      </c>
      <c r="U96" s="2">
        <v>75</v>
      </c>
      <c r="V96" s="2">
        <v>450</v>
      </c>
      <c r="W96" s="2" t="s">
        <v>19</v>
      </c>
    </row>
    <row r="97" spans="1:23">
      <c r="A97" s="1" t="s">
        <v>19</v>
      </c>
      <c r="B97" s="2">
        <v>642375</v>
      </c>
      <c r="C97" s="2">
        <v>3975</v>
      </c>
      <c r="D97" s="2">
        <v>21036</v>
      </c>
      <c r="E97" s="1">
        <v>26.79</v>
      </c>
      <c r="F97" s="1">
        <v>1.05</v>
      </c>
      <c r="G97" s="8">
        <v>-0.2</v>
      </c>
      <c r="H97" s="2">
        <v>1500</v>
      </c>
      <c r="I97" s="1">
        <v>1.1000000000000001</v>
      </c>
      <c r="J97" s="1">
        <v>1.2</v>
      </c>
      <c r="K97" s="2">
        <v>450</v>
      </c>
      <c r="L97" s="6">
        <v>13600</v>
      </c>
      <c r="M97" s="2">
        <v>75</v>
      </c>
      <c r="N97" s="2">
        <v>495.55</v>
      </c>
      <c r="O97" s="2">
        <v>532.79999999999995</v>
      </c>
      <c r="P97" s="2">
        <v>75</v>
      </c>
      <c r="Q97" s="2">
        <v>-145.6</v>
      </c>
      <c r="R97" s="2">
        <v>527</v>
      </c>
      <c r="S97" s="2" t="s">
        <v>20</v>
      </c>
      <c r="T97" s="2">
        <v>8</v>
      </c>
      <c r="U97" s="2">
        <v>-225</v>
      </c>
      <c r="V97" s="2">
        <v>1275</v>
      </c>
      <c r="W97" s="2" t="s">
        <v>19</v>
      </c>
    </row>
    <row r="98" spans="1:23">
      <c r="A98" s="1" t="s">
        <v>19</v>
      </c>
      <c r="B98" s="2">
        <v>30975</v>
      </c>
      <c r="C98" s="2">
        <v>-3000</v>
      </c>
      <c r="D98" s="2">
        <v>613</v>
      </c>
      <c r="E98" s="1">
        <v>29.02</v>
      </c>
      <c r="F98" s="1">
        <v>1.35</v>
      </c>
      <c r="G98" s="8">
        <v>0.1</v>
      </c>
      <c r="H98" s="2">
        <v>75</v>
      </c>
      <c r="I98" s="1">
        <v>1.1000000000000001</v>
      </c>
      <c r="J98" s="1">
        <v>1.3</v>
      </c>
      <c r="K98" s="2">
        <v>1200</v>
      </c>
      <c r="L98" s="6">
        <v>13650</v>
      </c>
      <c r="M98" s="2">
        <v>75</v>
      </c>
      <c r="N98" s="2">
        <v>544.54999999999995</v>
      </c>
      <c r="O98" s="2">
        <v>627.45000000000005</v>
      </c>
      <c r="P98" s="2">
        <v>1500</v>
      </c>
      <c r="Q98" s="2" t="s">
        <v>20</v>
      </c>
      <c r="R98" s="2" t="s">
        <v>20</v>
      </c>
      <c r="S98" s="2" t="s">
        <v>20</v>
      </c>
      <c r="T98" s="2" t="s">
        <v>20</v>
      </c>
      <c r="U98" s="2" t="s">
        <v>20</v>
      </c>
      <c r="V98" s="2">
        <v>75</v>
      </c>
      <c r="W98" s="2" t="s">
        <v>19</v>
      </c>
    </row>
    <row r="99" spans="1:23">
      <c r="A99" s="1" t="s">
        <v>19</v>
      </c>
      <c r="B99" s="2">
        <v>1388400</v>
      </c>
      <c r="C99" s="2">
        <v>-4725</v>
      </c>
      <c r="D99" s="2">
        <v>11668</v>
      </c>
      <c r="E99" s="1">
        <v>29.69</v>
      </c>
      <c r="F99" s="1">
        <v>1</v>
      </c>
      <c r="G99" s="8">
        <v>-0.05</v>
      </c>
      <c r="H99" s="2">
        <v>75</v>
      </c>
      <c r="I99" s="1">
        <v>0.95</v>
      </c>
      <c r="J99" s="1">
        <v>1.1000000000000001</v>
      </c>
      <c r="K99" s="2">
        <v>22575</v>
      </c>
      <c r="L99" s="6">
        <v>13700</v>
      </c>
      <c r="M99" s="2">
        <v>75</v>
      </c>
      <c r="N99" s="2">
        <v>609.29999999999995</v>
      </c>
      <c r="O99" s="2">
        <v>634.70000000000005</v>
      </c>
      <c r="P99" s="2">
        <v>75</v>
      </c>
      <c r="Q99" s="2">
        <v>-123.35</v>
      </c>
      <c r="R99" s="2">
        <v>644</v>
      </c>
      <c r="S99" s="2">
        <v>60.9</v>
      </c>
      <c r="T99" s="2">
        <v>12</v>
      </c>
      <c r="U99" s="2">
        <v>-75</v>
      </c>
      <c r="V99" s="2">
        <v>6450</v>
      </c>
      <c r="W99" s="2" t="s">
        <v>19</v>
      </c>
    </row>
    <row r="100" spans="1:23">
      <c r="A100" s="1" t="s">
        <v>19</v>
      </c>
      <c r="B100" s="2">
        <v>12075</v>
      </c>
      <c r="C100" s="2">
        <v>-750</v>
      </c>
      <c r="D100" s="2">
        <v>50</v>
      </c>
      <c r="E100" s="1" t="s">
        <v>20</v>
      </c>
      <c r="F100" s="1">
        <v>0.65</v>
      </c>
      <c r="G100" s="8">
        <v>-0.3</v>
      </c>
      <c r="H100" s="2">
        <v>2625</v>
      </c>
      <c r="I100" s="1">
        <v>0.65</v>
      </c>
      <c r="J100" s="1">
        <v>1.1499999999999999</v>
      </c>
      <c r="K100" s="2">
        <v>75</v>
      </c>
      <c r="L100" s="6">
        <v>13750</v>
      </c>
      <c r="M100" s="2">
        <v>75</v>
      </c>
      <c r="N100" s="2">
        <v>658.7</v>
      </c>
      <c r="O100" s="2">
        <v>731.7</v>
      </c>
      <c r="P100" s="2">
        <v>6375</v>
      </c>
      <c r="Q100" s="2" t="s">
        <v>20</v>
      </c>
      <c r="R100" s="2" t="s">
        <v>20</v>
      </c>
      <c r="S100" s="2" t="s">
        <v>20</v>
      </c>
      <c r="T100" s="2" t="s">
        <v>20</v>
      </c>
      <c r="U100" s="2" t="s">
        <v>20</v>
      </c>
      <c r="V100" s="2">
        <v>150</v>
      </c>
      <c r="W100" s="2" t="s">
        <v>19</v>
      </c>
    </row>
    <row r="101" spans="1:23">
      <c r="A101" s="1" t="s">
        <v>19</v>
      </c>
      <c r="B101" s="2">
        <v>329925</v>
      </c>
      <c r="C101" s="2">
        <v>11475</v>
      </c>
      <c r="D101" s="2">
        <v>6260</v>
      </c>
      <c r="E101" s="1">
        <v>32.119999999999997</v>
      </c>
      <c r="F101" s="1">
        <v>0.65</v>
      </c>
      <c r="G101" s="8">
        <v>-0.2</v>
      </c>
      <c r="H101" s="2">
        <v>300</v>
      </c>
      <c r="I101" s="1">
        <v>0.65</v>
      </c>
      <c r="J101" s="1">
        <v>0.75</v>
      </c>
      <c r="K101" s="2">
        <v>1050</v>
      </c>
      <c r="L101" s="6">
        <v>13800</v>
      </c>
      <c r="M101" s="2">
        <v>300</v>
      </c>
      <c r="N101" s="2">
        <v>713.6</v>
      </c>
      <c r="O101" s="2">
        <v>728.05</v>
      </c>
      <c r="P101" s="2">
        <v>300</v>
      </c>
      <c r="Q101" s="2">
        <v>-96.05</v>
      </c>
      <c r="R101" s="2">
        <v>758.5</v>
      </c>
      <c r="S101" s="2">
        <v>65.849999999999994</v>
      </c>
      <c r="T101" s="2">
        <v>4</v>
      </c>
      <c r="U101" s="2">
        <v>-75</v>
      </c>
      <c r="V101" s="2">
        <v>1050</v>
      </c>
      <c r="W101" s="2" t="s">
        <v>19</v>
      </c>
    </row>
    <row r="102" spans="1:23">
      <c r="A102" s="1" t="s">
        <v>19</v>
      </c>
      <c r="B102" s="2">
        <v>24975</v>
      </c>
      <c r="C102" s="2">
        <v>-1650</v>
      </c>
      <c r="D102" s="2">
        <v>125</v>
      </c>
      <c r="E102" s="1">
        <v>32.61</v>
      </c>
      <c r="F102" s="1">
        <v>1.1000000000000001</v>
      </c>
      <c r="G102" s="8">
        <v>0.15</v>
      </c>
      <c r="H102" s="2">
        <v>300</v>
      </c>
      <c r="I102" s="1">
        <v>0.5</v>
      </c>
      <c r="J102" s="1">
        <v>1</v>
      </c>
      <c r="K102" s="2">
        <v>2400</v>
      </c>
      <c r="L102" s="6">
        <v>13850</v>
      </c>
      <c r="M102" s="2">
        <v>75</v>
      </c>
      <c r="N102" s="2">
        <v>752.3</v>
      </c>
      <c r="O102" s="2">
        <v>832.5</v>
      </c>
      <c r="P102" s="2">
        <v>1500</v>
      </c>
      <c r="Q102" s="2" t="s">
        <v>20</v>
      </c>
      <c r="R102" s="2" t="s">
        <v>20</v>
      </c>
      <c r="S102" s="2" t="s">
        <v>20</v>
      </c>
      <c r="T102" s="2" t="s">
        <v>20</v>
      </c>
      <c r="U102" s="2" t="s">
        <v>20</v>
      </c>
      <c r="V102" s="2">
        <v>150</v>
      </c>
      <c r="W102" s="2" t="s">
        <v>19</v>
      </c>
    </row>
    <row r="103" spans="1:23">
      <c r="A103" s="1" t="s">
        <v>19</v>
      </c>
      <c r="B103" s="2">
        <v>182475</v>
      </c>
      <c r="C103" s="2">
        <v>24675</v>
      </c>
      <c r="D103" s="2">
        <v>5740</v>
      </c>
      <c r="E103" s="1">
        <v>33.89</v>
      </c>
      <c r="F103" s="1">
        <v>0.5</v>
      </c>
      <c r="G103" s="8">
        <v>-0.15</v>
      </c>
      <c r="H103" s="2">
        <v>19050</v>
      </c>
      <c r="I103" s="1">
        <v>0.45</v>
      </c>
      <c r="J103" s="1">
        <v>0.5</v>
      </c>
      <c r="K103" s="2">
        <v>5325</v>
      </c>
      <c r="L103" s="6">
        <v>13900</v>
      </c>
      <c r="M103" s="2">
        <v>75</v>
      </c>
      <c r="N103" s="2">
        <v>800.35</v>
      </c>
      <c r="O103" s="2">
        <v>841.5</v>
      </c>
      <c r="P103" s="2">
        <v>75</v>
      </c>
      <c r="Q103" s="2">
        <v>-123.6</v>
      </c>
      <c r="R103" s="2">
        <v>838.75</v>
      </c>
      <c r="S103" s="2" t="s">
        <v>20</v>
      </c>
      <c r="T103" s="2">
        <v>34</v>
      </c>
      <c r="U103" s="2">
        <v>1800</v>
      </c>
      <c r="V103" s="2">
        <v>4425</v>
      </c>
      <c r="W103" s="2" t="s">
        <v>19</v>
      </c>
    </row>
    <row r="104" spans="1:23">
      <c r="A104" s="1" t="s">
        <v>19</v>
      </c>
      <c r="B104" s="2">
        <v>43875</v>
      </c>
      <c r="C104" s="2">
        <v>600</v>
      </c>
      <c r="D104" s="2">
        <v>462</v>
      </c>
      <c r="E104" s="1" t="s">
        <v>20</v>
      </c>
      <c r="F104" s="1">
        <v>0.35</v>
      </c>
      <c r="G104" s="8">
        <v>-0.25</v>
      </c>
      <c r="H104" s="2">
        <v>4800</v>
      </c>
      <c r="I104" s="1">
        <v>0.25</v>
      </c>
      <c r="J104" s="1">
        <v>0.8</v>
      </c>
      <c r="K104" s="2">
        <v>225</v>
      </c>
      <c r="L104" s="6">
        <v>13950</v>
      </c>
      <c r="M104" s="2">
        <v>75</v>
      </c>
      <c r="N104" s="2">
        <v>844.6</v>
      </c>
      <c r="O104" s="2">
        <v>948.7</v>
      </c>
      <c r="P104" s="2">
        <v>1500</v>
      </c>
      <c r="Q104" s="2">
        <v>-94.5</v>
      </c>
      <c r="R104" s="2">
        <v>935.05</v>
      </c>
      <c r="S104" s="2" t="s">
        <v>20</v>
      </c>
      <c r="T104" s="2">
        <v>3</v>
      </c>
      <c r="U104" s="2">
        <v>-150</v>
      </c>
      <c r="V104" s="2">
        <v>75</v>
      </c>
      <c r="W104" s="2" t="s">
        <v>19</v>
      </c>
    </row>
    <row r="105" spans="1:23">
      <c r="A105" s="1" t="s">
        <v>19</v>
      </c>
      <c r="B105" s="2">
        <v>745425</v>
      </c>
      <c r="C105" s="2">
        <v>-261675</v>
      </c>
      <c r="D105" s="2">
        <v>51921</v>
      </c>
      <c r="E105" s="1">
        <v>37.15</v>
      </c>
      <c r="F105" s="1">
        <v>0.5</v>
      </c>
      <c r="G105" s="8">
        <v>-0.05</v>
      </c>
      <c r="H105" s="2">
        <v>4125</v>
      </c>
      <c r="I105" s="1">
        <v>0.5</v>
      </c>
      <c r="J105" s="1">
        <v>0.6</v>
      </c>
      <c r="K105" s="2">
        <v>525</v>
      </c>
      <c r="L105" s="6">
        <v>14000</v>
      </c>
      <c r="M105" s="2">
        <v>75</v>
      </c>
      <c r="N105" s="2">
        <v>917.35</v>
      </c>
      <c r="O105" s="2">
        <v>927.45</v>
      </c>
      <c r="P105" s="2">
        <v>1350</v>
      </c>
      <c r="Q105" s="2">
        <v>-137</v>
      </c>
      <c r="R105" s="2">
        <v>923</v>
      </c>
      <c r="S105" s="2">
        <v>55.62</v>
      </c>
      <c r="T105" s="2">
        <v>102</v>
      </c>
      <c r="U105" s="2">
        <v>-1500</v>
      </c>
      <c r="V105" s="2">
        <v>18600</v>
      </c>
      <c r="W105" s="2" t="s">
        <v>19</v>
      </c>
    </row>
    <row r="106" spans="1:23">
      <c r="A106" s="1" t="s">
        <v>19</v>
      </c>
      <c r="B106" s="2">
        <v>4800</v>
      </c>
      <c r="C106" s="2">
        <v>300</v>
      </c>
      <c r="D106" s="2">
        <v>2035</v>
      </c>
      <c r="E106" s="1">
        <v>41.82</v>
      </c>
      <c r="F106" s="1">
        <v>0.6</v>
      </c>
      <c r="G106" s="8">
        <v>0.1</v>
      </c>
      <c r="H106" s="2">
        <v>75</v>
      </c>
      <c r="I106" s="1">
        <v>0.65</v>
      </c>
      <c r="J106" s="1">
        <v>0.8</v>
      </c>
      <c r="K106" s="2">
        <v>2925</v>
      </c>
      <c r="L106" s="6">
        <v>14050</v>
      </c>
      <c r="M106" s="2">
        <v>75</v>
      </c>
      <c r="N106" s="2">
        <v>942.3</v>
      </c>
      <c r="O106" s="2">
        <v>1014.85</v>
      </c>
      <c r="P106" s="2">
        <v>75</v>
      </c>
      <c r="Q106" s="2" t="s">
        <v>20</v>
      </c>
      <c r="R106" s="2" t="s">
        <v>20</v>
      </c>
      <c r="S106" s="2" t="s">
        <v>20</v>
      </c>
      <c r="T106" s="2" t="s">
        <v>20</v>
      </c>
      <c r="U106" s="2" t="s">
        <v>20</v>
      </c>
      <c r="V106" s="2" t="s">
        <v>20</v>
      </c>
      <c r="W106" s="2" t="s">
        <v>19</v>
      </c>
    </row>
    <row r="107" spans="1:23">
      <c r="A107" s="1" t="s">
        <v>19</v>
      </c>
      <c r="B107" s="2">
        <v>16425</v>
      </c>
      <c r="C107" s="2">
        <v>-30600</v>
      </c>
      <c r="D107" s="2">
        <v>1699</v>
      </c>
      <c r="E107" s="1">
        <v>40.369999999999997</v>
      </c>
      <c r="F107" s="1">
        <v>0.5</v>
      </c>
      <c r="G107" s="8">
        <v>-0.25</v>
      </c>
      <c r="H107" s="2">
        <v>1125</v>
      </c>
      <c r="I107" s="1">
        <v>0.4</v>
      </c>
      <c r="J107" s="1">
        <v>0.75</v>
      </c>
      <c r="K107" s="2">
        <v>225</v>
      </c>
      <c r="L107" s="6">
        <v>14100</v>
      </c>
      <c r="M107" s="2">
        <v>75</v>
      </c>
      <c r="N107" s="2">
        <v>991.2</v>
      </c>
      <c r="O107" s="2">
        <v>1034.05</v>
      </c>
      <c r="P107" s="2">
        <v>75</v>
      </c>
      <c r="Q107" s="2" t="s">
        <v>20</v>
      </c>
      <c r="R107" s="2" t="s">
        <v>20</v>
      </c>
      <c r="S107" s="2" t="s">
        <v>20</v>
      </c>
      <c r="T107" s="2" t="s">
        <v>20</v>
      </c>
      <c r="U107" s="2" t="s">
        <v>20</v>
      </c>
      <c r="V107" s="2" t="s">
        <v>20</v>
      </c>
      <c r="W107" s="2" t="s">
        <v>19</v>
      </c>
    </row>
    <row r="108" spans="1:23">
      <c r="A108" s="1" t="s">
        <v>19</v>
      </c>
      <c r="B108" s="2">
        <v>9150</v>
      </c>
      <c r="C108" s="2">
        <v>600</v>
      </c>
      <c r="D108" s="2">
        <v>3038</v>
      </c>
      <c r="E108" s="1">
        <v>40.31</v>
      </c>
      <c r="F108" s="1">
        <v>0.8</v>
      </c>
      <c r="G108" s="8">
        <v>0.05</v>
      </c>
      <c r="H108" s="2">
        <v>1650</v>
      </c>
      <c r="I108" s="1">
        <v>0.65</v>
      </c>
      <c r="J108" s="1">
        <v>0.8</v>
      </c>
      <c r="K108" s="2">
        <v>675</v>
      </c>
      <c r="L108" s="6">
        <v>14150</v>
      </c>
      <c r="M108" s="2">
        <v>75</v>
      </c>
      <c r="N108" s="2">
        <v>1039.5999999999999</v>
      </c>
      <c r="O108" s="2">
        <v>1124.95</v>
      </c>
      <c r="P108" s="2">
        <v>75</v>
      </c>
      <c r="Q108" s="2" t="s">
        <v>20</v>
      </c>
      <c r="R108" s="2" t="s">
        <v>20</v>
      </c>
      <c r="S108" s="2" t="s">
        <v>20</v>
      </c>
      <c r="T108" s="2" t="s">
        <v>20</v>
      </c>
      <c r="U108" s="2" t="s">
        <v>20</v>
      </c>
      <c r="V108" s="2" t="s">
        <v>20</v>
      </c>
      <c r="W108" s="2" t="s">
        <v>19</v>
      </c>
    </row>
    <row r="109" spans="1:23">
      <c r="A109" s="1" t="s">
        <v>19</v>
      </c>
      <c r="B109" s="2">
        <v>29925</v>
      </c>
      <c r="C109" s="2">
        <v>150</v>
      </c>
      <c r="D109" s="2">
        <v>4583</v>
      </c>
      <c r="E109" s="1">
        <v>43.53</v>
      </c>
      <c r="F109" s="1">
        <v>0.9</v>
      </c>
      <c r="G109" s="8">
        <v>0.25</v>
      </c>
      <c r="H109" s="2">
        <v>225</v>
      </c>
      <c r="I109" s="1">
        <v>0.65</v>
      </c>
      <c r="J109" s="1">
        <v>1.2</v>
      </c>
      <c r="K109" s="2">
        <v>75</v>
      </c>
      <c r="L109" s="6">
        <v>14200</v>
      </c>
      <c r="M109" s="2">
        <v>75</v>
      </c>
      <c r="N109" s="2">
        <v>1100.55</v>
      </c>
      <c r="O109" s="2">
        <v>1156.75</v>
      </c>
      <c r="P109" s="2">
        <v>1500</v>
      </c>
      <c r="Q109" s="2" t="s">
        <v>20</v>
      </c>
      <c r="R109" s="2" t="s">
        <v>20</v>
      </c>
      <c r="S109" s="2" t="s">
        <v>20</v>
      </c>
      <c r="T109" s="2" t="s">
        <v>20</v>
      </c>
      <c r="U109" s="2" t="s">
        <v>20</v>
      </c>
      <c r="V109" s="2">
        <v>675</v>
      </c>
      <c r="W109" s="2" t="s">
        <v>19</v>
      </c>
    </row>
    <row r="110" spans="1:23">
      <c r="A110" s="1" t="s">
        <v>19</v>
      </c>
      <c r="B110" s="2">
        <v>825</v>
      </c>
      <c r="C110" s="2">
        <v>450</v>
      </c>
      <c r="D110" s="2">
        <v>1254</v>
      </c>
      <c r="E110" s="1" t="s">
        <v>20</v>
      </c>
      <c r="F110" s="1">
        <v>1</v>
      </c>
      <c r="G110" s="8">
        <v>0.45</v>
      </c>
      <c r="H110" s="2">
        <v>300</v>
      </c>
      <c r="I110" s="1">
        <v>0.55000000000000004</v>
      </c>
      <c r="J110" s="1">
        <v>1</v>
      </c>
      <c r="K110" s="2">
        <v>675</v>
      </c>
      <c r="L110" s="6">
        <v>14250</v>
      </c>
      <c r="M110" s="2">
        <v>75</v>
      </c>
      <c r="N110" s="2">
        <v>1131.75</v>
      </c>
      <c r="O110" s="2">
        <v>1222.05</v>
      </c>
      <c r="P110" s="2">
        <v>75</v>
      </c>
      <c r="Q110" s="2" t="s">
        <v>20</v>
      </c>
      <c r="R110" s="2" t="s">
        <v>20</v>
      </c>
      <c r="S110" s="2" t="s">
        <v>20</v>
      </c>
      <c r="T110" s="2" t="s">
        <v>20</v>
      </c>
      <c r="U110" s="2" t="s">
        <v>20</v>
      </c>
      <c r="V110" s="2" t="s">
        <v>20</v>
      </c>
      <c r="W110" s="2" t="s">
        <v>19</v>
      </c>
    </row>
    <row r="111" spans="1:23">
      <c r="A111" s="1" t="s">
        <v>19</v>
      </c>
      <c r="B111" s="2">
        <v>23925</v>
      </c>
      <c r="C111" s="2">
        <v>2250</v>
      </c>
      <c r="D111" s="2">
        <v>376</v>
      </c>
      <c r="E111" s="1" t="s">
        <v>20</v>
      </c>
      <c r="F111" s="1">
        <v>0.8</v>
      </c>
      <c r="G111" s="8">
        <v>0.15</v>
      </c>
      <c r="H111" s="2">
        <v>600</v>
      </c>
      <c r="I111" s="1">
        <v>0.5</v>
      </c>
      <c r="J111" s="1">
        <v>0.8</v>
      </c>
      <c r="K111" s="2">
        <v>3525</v>
      </c>
      <c r="L111" s="6">
        <v>14300</v>
      </c>
      <c r="M111" s="2">
        <v>75</v>
      </c>
      <c r="N111" s="2">
        <v>1192</v>
      </c>
      <c r="O111" s="2">
        <v>1233.8499999999999</v>
      </c>
      <c r="P111" s="2">
        <v>75</v>
      </c>
      <c r="Q111" s="2" t="s">
        <v>20</v>
      </c>
      <c r="R111" s="2" t="s">
        <v>20</v>
      </c>
      <c r="S111" s="2" t="s">
        <v>20</v>
      </c>
      <c r="T111" s="2" t="s">
        <v>20</v>
      </c>
      <c r="U111" s="2" t="s">
        <v>20</v>
      </c>
      <c r="V111" s="2">
        <v>150</v>
      </c>
      <c r="W111" s="2" t="s">
        <v>19</v>
      </c>
    </row>
    <row r="112" spans="1:23">
      <c r="A112" s="1" t="s">
        <v>19</v>
      </c>
      <c r="B112" s="2" t="s">
        <v>20</v>
      </c>
      <c r="C112" s="2" t="s">
        <v>20</v>
      </c>
      <c r="D112" s="2" t="s">
        <v>20</v>
      </c>
      <c r="E112" s="1" t="s">
        <v>20</v>
      </c>
      <c r="F112" s="1" t="s">
        <v>20</v>
      </c>
      <c r="G112" s="8" t="s">
        <v>20</v>
      </c>
      <c r="H112" s="2">
        <v>1500</v>
      </c>
      <c r="I112" s="1">
        <v>0.25</v>
      </c>
      <c r="J112" s="1">
        <v>0.8</v>
      </c>
      <c r="K112" s="2">
        <v>75</v>
      </c>
      <c r="L112" s="6">
        <v>14350</v>
      </c>
      <c r="M112" s="2">
        <v>1500</v>
      </c>
      <c r="N112" s="2">
        <v>1179.8499999999999</v>
      </c>
      <c r="O112" s="2">
        <v>1363.25</v>
      </c>
      <c r="P112" s="2">
        <v>1500</v>
      </c>
      <c r="Q112" s="2" t="s">
        <v>20</v>
      </c>
      <c r="R112" s="2" t="s">
        <v>20</v>
      </c>
      <c r="S112" s="2" t="s">
        <v>20</v>
      </c>
      <c r="T112" s="2" t="s">
        <v>20</v>
      </c>
      <c r="U112" s="2" t="s">
        <v>20</v>
      </c>
      <c r="V112" s="2" t="s">
        <v>20</v>
      </c>
      <c r="W112" s="2" t="s">
        <v>19</v>
      </c>
    </row>
    <row r="113" spans="1:23">
      <c r="A113" s="1" t="s">
        <v>19</v>
      </c>
      <c r="B113" s="2">
        <v>39300</v>
      </c>
      <c r="C113" s="2">
        <v>-1500</v>
      </c>
      <c r="D113" s="2">
        <v>6224</v>
      </c>
      <c r="E113" s="1">
        <v>50.25</v>
      </c>
      <c r="F113" s="1">
        <v>0.55000000000000004</v>
      </c>
      <c r="G113" s="8" t="s">
        <v>20</v>
      </c>
      <c r="H113" s="2">
        <v>150</v>
      </c>
      <c r="I113" s="1">
        <v>0.5</v>
      </c>
      <c r="J113" s="1">
        <v>0.9</v>
      </c>
      <c r="K113" s="2">
        <v>2925</v>
      </c>
      <c r="L113" s="6">
        <v>14400</v>
      </c>
      <c r="M113" s="2">
        <v>75</v>
      </c>
      <c r="N113" s="2">
        <v>1303</v>
      </c>
      <c r="O113" s="2">
        <v>1396.3</v>
      </c>
      <c r="P113" s="2">
        <v>75</v>
      </c>
      <c r="Q113" s="2" t="s">
        <v>20</v>
      </c>
      <c r="R113" s="2" t="s">
        <v>20</v>
      </c>
      <c r="S113" s="2" t="s">
        <v>20</v>
      </c>
      <c r="T113" s="2" t="s">
        <v>20</v>
      </c>
      <c r="U113" s="2" t="s">
        <v>20</v>
      </c>
      <c r="V113" s="2">
        <v>75</v>
      </c>
      <c r="W113" s="2" t="s">
        <v>19</v>
      </c>
    </row>
    <row r="114" spans="1:23">
      <c r="A114" s="1" t="s">
        <v>19</v>
      </c>
      <c r="B114" s="2">
        <v>8550</v>
      </c>
      <c r="C114" s="2">
        <v>750</v>
      </c>
      <c r="D114" s="2">
        <v>1200</v>
      </c>
      <c r="E114" s="1">
        <v>52.75</v>
      </c>
      <c r="F114" s="1">
        <v>0.5</v>
      </c>
      <c r="G114" s="8">
        <v>-0.2</v>
      </c>
      <c r="H114" s="2">
        <v>2925</v>
      </c>
      <c r="I114" s="1">
        <v>0.5</v>
      </c>
      <c r="J114" s="1">
        <v>0.6</v>
      </c>
      <c r="K114" s="2">
        <v>75</v>
      </c>
      <c r="L114" s="6">
        <v>14450</v>
      </c>
      <c r="M114" s="2">
        <v>75</v>
      </c>
      <c r="N114" s="2">
        <v>1334.65</v>
      </c>
      <c r="O114" s="2">
        <v>1424.7</v>
      </c>
      <c r="P114" s="2">
        <v>1500</v>
      </c>
      <c r="Q114" s="2" t="s">
        <v>20</v>
      </c>
      <c r="R114" s="2" t="s">
        <v>20</v>
      </c>
      <c r="S114" s="2" t="s">
        <v>20</v>
      </c>
      <c r="T114" s="2" t="s">
        <v>20</v>
      </c>
      <c r="U114" s="2" t="s">
        <v>20</v>
      </c>
      <c r="V114" s="2" t="s">
        <v>20</v>
      </c>
      <c r="W114" s="2" t="s">
        <v>19</v>
      </c>
    </row>
    <row r="115" spans="1:23">
      <c r="A115" s="1" t="s">
        <v>21</v>
      </c>
      <c r="B115" s="2">
        <v>35743950</v>
      </c>
      <c r="C115" s="2"/>
      <c r="D115" s="2">
        <v>3331761</v>
      </c>
      <c r="H115" s="2"/>
      <c r="K115" s="2"/>
      <c r="L115" s="6"/>
      <c r="M115" s="2"/>
      <c r="N115" s="2"/>
      <c r="O115" s="2"/>
      <c r="P115" s="2"/>
      <c r="Q115" s="2"/>
      <c r="R115" s="2"/>
      <c r="S115" s="2"/>
      <c r="T115" s="2">
        <v>3487654</v>
      </c>
      <c r="U115" s="2"/>
      <c r="V115" s="2">
        <v>57632925</v>
      </c>
      <c r="W115" s="2" t="s">
        <v>21</v>
      </c>
    </row>
    <row r="116" spans="1:23">
      <c r="B116" s="2"/>
      <c r="C116" s="2"/>
      <c r="D116" s="2"/>
      <c r="H116" s="2"/>
      <c r="K116" s="2"/>
      <c r="L116" s="6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>
      <c r="A117" s="1" t="s">
        <v>22</v>
      </c>
      <c r="B117" s="2"/>
      <c r="C117" s="2"/>
      <c r="D117" s="2"/>
      <c r="H117" s="2"/>
      <c r="K117" s="2"/>
      <c r="L117" s="6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>
      <c r="A118" s="1" t="s">
        <v>23</v>
      </c>
      <c r="B118" s="2"/>
      <c r="C118" s="2"/>
      <c r="D118" s="2"/>
      <c r="H118" s="2"/>
      <c r="K118" s="2"/>
      <c r="L118" s="6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>
      <c r="B119" s="2"/>
      <c r="C119" s="2"/>
      <c r="D119" s="2"/>
      <c r="H119" s="2"/>
      <c r="K119" s="2"/>
      <c r="L119" s="6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>
      <c r="A120" s="1" t="s">
        <v>24</v>
      </c>
      <c r="B120" s="2"/>
      <c r="C120" s="2"/>
      <c r="D120" s="2"/>
      <c r="H120" s="2"/>
      <c r="K120" s="2"/>
      <c r="L120" s="6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>
      <c r="B121" s="2"/>
      <c r="C121" s="2"/>
      <c r="D121" s="2"/>
      <c r="H121" s="2"/>
      <c r="K121" s="2"/>
      <c r="L121" s="6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>
      <c r="B122" s="2"/>
      <c r="C122" s="2"/>
      <c r="D122" s="2"/>
      <c r="H122" s="2"/>
      <c r="K122" s="2"/>
      <c r="L122" s="6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>
      <c r="A123" s="1" t="s">
        <v>25</v>
      </c>
      <c r="B123" s="2"/>
      <c r="C123" s="2"/>
      <c r="D123" s="2"/>
      <c r="H123" s="2"/>
      <c r="K123" s="2"/>
      <c r="L123" s="6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>
      <c r="A124" s="1" t="s">
        <v>26</v>
      </c>
      <c r="B124" s="2"/>
      <c r="C124" s="2"/>
      <c r="D124" s="2"/>
      <c r="H124" s="2"/>
      <c r="K124" s="2"/>
      <c r="L124" s="6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4:T21"/>
  <sheetViews>
    <sheetView workbookViewId="0">
      <selection activeCell="B29" sqref="B29"/>
    </sheetView>
  </sheetViews>
  <sheetFormatPr defaultRowHeight="14.4"/>
  <cols>
    <col min="5" max="5" width="15.33203125" bestFit="1" customWidth="1"/>
    <col min="6" max="6" width="13.88671875" customWidth="1"/>
    <col min="7" max="7" width="13.33203125" bestFit="1" customWidth="1"/>
    <col min="8" max="8" width="14" bestFit="1" customWidth="1"/>
    <col min="9" max="9" width="10.109375" bestFit="1" customWidth="1"/>
    <col min="10" max="10" width="12.33203125" customWidth="1"/>
    <col min="11" max="11" width="10.5546875" customWidth="1"/>
    <col min="14" max="14" width="11.44140625" customWidth="1"/>
  </cols>
  <sheetData>
    <row r="4" spans="3:20">
      <c r="D4" s="1"/>
      <c r="E4" s="1"/>
      <c r="F4" s="1"/>
      <c r="G4" s="1"/>
      <c r="H4" s="1"/>
      <c r="I4" s="1"/>
      <c r="J4" s="1"/>
      <c r="K4" s="1"/>
      <c r="L4" s="1"/>
    </row>
    <row r="5" spans="3:20">
      <c r="D5" s="1"/>
      <c r="E5" s="1"/>
      <c r="F5" s="1"/>
      <c r="G5" s="1"/>
      <c r="H5" s="1"/>
      <c r="I5" s="1"/>
      <c r="J5" s="1"/>
      <c r="K5" s="1"/>
      <c r="L5" s="1"/>
    </row>
    <row r="6" spans="3:20" ht="18">
      <c r="D6" s="1"/>
      <c r="E6" s="1"/>
      <c r="F6" s="7" t="s">
        <v>29</v>
      </c>
      <c r="G6" s="1"/>
      <c r="H6" s="1"/>
      <c r="I6" s="1"/>
      <c r="J6" s="7" t="s">
        <v>31</v>
      </c>
      <c r="K6" s="1"/>
      <c r="L6" s="1"/>
      <c r="M6" s="10"/>
    </row>
    <row r="7" spans="3:20">
      <c r="D7" s="1"/>
      <c r="E7" s="1"/>
      <c r="F7" s="1"/>
      <c r="G7" s="1"/>
      <c r="H7" s="1"/>
      <c r="I7" s="1"/>
      <c r="J7" s="1"/>
      <c r="K7" s="1"/>
      <c r="L7" s="1"/>
    </row>
    <row r="8" spans="3:20" s="4" customFormat="1" ht="15.6">
      <c r="E8" s="4" t="s">
        <v>27</v>
      </c>
      <c r="F8" s="4" t="s">
        <v>28</v>
      </c>
      <c r="G8" s="4" t="s">
        <v>10</v>
      </c>
      <c r="I8" s="4" t="s">
        <v>27</v>
      </c>
      <c r="J8" s="4" t="s">
        <v>30</v>
      </c>
      <c r="K8" s="4" t="s">
        <v>10</v>
      </c>
    </row>
    <row r="9" spans="3:20">
      <c r="D9" s="1"/>
      <c r="E9" s="1"/>
      <c r="F9" s="1"/>
      <c r="G9" s="1"/>
      <c r="H9" s="1"/>
      <c r="I9" s="1"/>
      <c r="J9" s="1"/>
      <c r="K9" s="1"/>
      <c r="L9" s="1"/>
    </row>
    <row r="10" spans="3:20" s="1" customFormat="1" ht="15.6">
      <c r="C10" s="4" t="s">
        <v>35</v>
      </c>
      <c r="E10" s="9">
        <f>SUM(Sheet1!B11:B114)</f>
        <v>35743950</v>
      </c>
      <c r="F10" s="19">
        <f>SUM(Sheet1!C11:C114)</f>
        <v>-3220800</v>
      </c>
      <c r="G10" s="9">
        <f>SUM(Sheet1!D11:D114)</f>
        <v>3331761</v>
      </c>
      <c r="I10" s="2">
        <f>SUM(Sheet1!V11:V114)</f>
        <v>57632925</v>
      </c>
      <c r="J10" s="2">
        <f>SUM(Sheet1!U11:U114)</f>
        <v>6331050</v>
      </c>
      <c r="K10" s="2">
        <f>SUM(Sheet1!T11:T114)</f>
        <v>3487654</v>
      </c>
    </row>
    <row r="11" spans="3:20">
      <c r="D11" s="1"/>
      <c r="E11" s="1"/>
      <c r="F11" s="20"/>
      <c r="G11" s="1"/>
      <c r="H11" s="1"/>
      <c r="I11" s="1"/>
      <c r="J11" s="1"/>
      <c r="K11" s="1"/>
      <c r="L11" s="1"/>
    </row>
    <row r="12" spans="3:20" ht="15.6">
      <c r="C12" s="11" t="s">
        <v>36</v>
      </c>
      <c r="D12" s="1"/>
      <c r="E12" s="2">
        <f>SUM(Sheet3!B11:B163)</f>
        <v>9516525</v>
      </c>
      <c r="F12" s="19">
        <f>SUM(Sheet3!C11:C163)</f>
        <v>-2540575</v>
      </c>
      <c r="G12" s="9">
        <f>SUM(Sheet3!D11:D163)</f>
        <v>6601425</v>
      </c>
      <c r="H12" s="1"/>
      <c r="I12" s="2">
        <f>SUM(Sheet3!V11:V163)</f>
        <v>13211375</v>
      </c>
      <c r="J12" s="2">
        <f>SUM(Sheet3!U11:U163)</f>
        <v>2158275</v>
      </c>
      <c r="K12" s="2">
        <f>SUM(Sheet3!T11:T163)</f>
        <v>6352402</v>
      </c>
      <c r="L12" s="1"/>
    </row>
    <row r="13" spans="3:20">
      <c r="D13" s="1"/>
      <c r="E13" s="1"/>
      <c r="F13" s="1"/>
      <c r="G13" s="1"/>
      <c r="H13" s="1"/>
      <c r="I13" s="1"/>
      <c r="J13" s="1"/>
      <c r="K13" s="1"/>
      <c r="L13" s="1"/>
    </row>
    <row r="14" spans="3:20">
      <c r="D14" s="1"/>
      <c r="E14" s="1"/>
      <c r="F14" s="1"/>
      <c r="G14" s="1"/>
      <c r="H14" s="1"/>
      <c r="I14" s="1"/>
      <c r="J14" s="1"/>
      <c r="K14" s="1"/>
      <c r="L14" s="1"/>
    </row>
    <row r="15" spans="3:20" ht="18">
      <c r="D15" s="1"/>
      <c r="E15" s="1"/>
      <c r="F15" s="7" t="s">
        <v>37</v>
      </c>
      <c r="G15" s="1"/>
      <c r="H15" s="7" t="s">
        <v>38</v>
      </c>
      <c r="I15" s="1"/>
      <c r="J15" s="1"/>
      <c r="K15" s="1"/>
      <c r="L15" s="1"/>
      <c r="R15" s="1"/>
    </row>
    <row r="16" spans="3:20" ht="15.6">
      <c r="D16" s="1"/>
      <c r="E16" s="1"/>
      <c r="I16" s="1"/>
      <c r="J16" s="4" t="s">
        <v>34</v>
      </c>
      <c r="K16" s="1"/>
      <c r="L16" s="12">
        <f>$I$10/$E$10</f>
        <v>1.6123826549667846</v>
      </c>
      <c r="N16" s="12">
        <f>$I$12/$E$12</f>
        <v>1.3882562174743407</v>
      </c>
      <c r="P16" s="4"/>
      <c r="Q16" s="1"/>
      <c r="R16" s="12"/>
      <c r="T16" s="12"/>
    </row>
    <row r="17" spans="4:20">
      <c r="D17" s="1" t="s">
        <v>39</v>
      </c>
      <c r="E17" s="1"/>
      <c r="F17" s="15">
        <f>$E$10-$I$10</f>
        <v>-21888975</v>
      </c>
      <c r="H17" s="16">
        <f>$E$12-$I$12</f>
        <v>-3694850</v>
      </c>
      <c r="I17" s="1"/>
      <c r="J17" s="1"/>
      <c r="K17" s="1"/>
      <c r="L17" s="1"/>
      <c r="P17" s="1"/>
      <c r="Q17" s="1"/>
      <c r="R17" s="1"/>
    </row>
    <row r="18" spans="4:20">
      <c r="D18" s="1"/>
      <c r="E18" s="1"/>
      <c r="F18" s="16"/>
      <c r="H18" s="18"/>
      <c r="L18" s="12">
        <f>$J$10/$F$10</f>
        <v>-1.9656762295081966</v>
      </c>
      <c r="N18" s="13">
        <f>$J$12/$F$12</f>
        <v>-0.8495222538204934</v>
      </c>
      <c r="R18" s="12"/>
      <c r="T18" s="13"/>
    </row>
    <row r="19" spans="4:20">
      <c r="D19" t="s">
        <v>32</v>
      </c>
      <c r="F19" s="16">
        <f>$F$10-$J$10</f>
        <v>-9551850</v>
      </c>
      <c r="H19" s="16">
        <f>$F$12-$J$12</f>
        <v>-4698850</v>
      </c>
    </row>
    <row r="20" spans="4:20">
      <c r="F20" s="16"/>
      <c r="H20" s="18"/>
    </row>
    <row r="21" spans="4:20">
      <c r="D21" t="s">
        <v>33</v>
      </c>
      <c r="F21" s="16">
        <f>$G$10-$K$10</f>
        <v>-155893</v>
      </c>
      <c r="H21" s="16">
        <f>$G$12-$K$12</f>
        <v>249023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W173"/>
  <sheetViews>
    <sheetView workbookViewId="0">
      <selection activeCell="E177" sqref="E177"/>
    </sheetView>
  </sheetViews>
  <sheetFormatPr defaultColWidth="9.109375" defaultRowHeight="14.4"/>
  <cols>
    <col min="1" max="1" width="28" style="1" customWidth="1"/>
    <col min="2" max="2" width="61.5546875" style="1" customWidth="1"/>
    <col min="3" max="3" width="9.21875" style="1" customWidth="1"/>
    <col min="4" max="4" width="8.88671875" style="1" customWidth="1"/>
    <col min="5" max="5" width="7" style="1" customWidth="1"/>
    <col min="6" max="6" width="9" style="1" customWidth="1"/>
    <col min="7" max="7" width="8.44140625" style="1" customWidth="1"/>
    <col min="8" max="8" width="5.44140625" style="1" customWidth="1"/>
    <col min="9" max="10" width="9" style="1" customWidth="1"/>
    <col min="11" max="11" width="5.44140625" style="1" customWidth="1"/>
    <col min="12" max="12" width="10" style="1" customWidth="1"/>
    <col min="13" max="13" width="5.44140625" style="1" customWidth="1"/>
    <col min="14" max="15" width="8" style="1" customWidth="1"/>
    <col min="16" max="16" width="5.44140625" style="1" customWidth="1"/>
    <col min="17" max="17" width="8.44140625" style="1" customWidth="1"/>
    <col min="18" max="18" width="8" style="1" customWidth="1"/>
    <col min="19" max="19" width="7" style="1" customWidth="1"/>
    <col min="20" max="20" width="8.88671875" style="1" customWidth="1"/>
    <col min="21" max="21" width="9.21875" style="1" customWidth="1"/>
    <col min="22" max="22" width="10.33203125" style="1" customWidth="1"/>
    <col min="23" max="23" width="5.88671875" style="1" customWidth="1"/>
    <col min="24" max="16384" width="9.109375" style="1"/>
  </cols>
  <sheetData>
    <row r="1" spans="1:23">
      <c r="A1" s="1" t="s">
        <v>0</v>
      </c>
      <c r="B1" s="1" t="s">
        <v>45</v>
      </c>
    </row>
    <row r="2" spans="1:23">
      <c r="A2" s="1" t="s">
        <v>1</v>
      </c>
    </row>
    <row r="3" spans="1:23">
      <c r="A3" s="1" t="s">
        <v>2</v>
      </c>
    </row>
    <row r="4" spans="1:23">
      <c r="A4" s="1" t="s">
        <v>3</v>
      </c>
    </row>
    <row r="5" spans="1:23">
      <c r="A5" s="1" t="s">
        <v>4</v>
      </c>
    </row>
    <row r="8" spans="1:23">
      <c r="A8" s="1" t="s">
        <v>5</v>
      </c>
      <c r="M8" s="1" t="s">
        <v>6</v>
      </c>
    </row>
    <row r="9" spans="1:23">
      <c r="A9" s="1" t="s">
        <v>7</v>
      </c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  <c r="G9" s="1" t="s">
        <v>13</v>
      </c>
      <c r="H9" s="1" t="s">
        <v>14</v>
      </c>
      <c r="I9" s="1" t="s">
        <v>14</v>
      </c>
      <c r="J9" s="1" t="s">
        <v>17</v>
      </c>
      <c r="K9" s="1" t="s">
        <v>17</v>
      </c>
      <c r="L9" s="1" t="s">
        <v>18</v>
      </c>
      <c r="M9" s="1" t="s">
        <v>14</v>
      </c>
      <c r="N9" s="1" t="s">
        <v>14</v>
      </c>
      <c r="O9" s="1" t="s">
        <v>17</v>
      </c>
      <c r="P9" s="1" t="s">
        <v>17</v>
      </c>
      <c r="Q9" s="1" t="s">
        <v>13</v>
      </c>
      <c r="R9" s="1" t="s">
        <v>12</v>
      </c>
      <c r="S9" s="1" t="s">
        <v>11</v>
      </c>
      <c r="T9" s="1" t="s">
        <v>10</v>
      </c>
      <c r="U9" s="1" t="s">
        <v>9</v>
      </c>
      <c r="V9" s="1" t="s">
        <v>8</v>
      </c>
      <c r="W9" s="1" t="s">
        <v>7</v>
      </c>
    </row>
    <row r="10" spans="1:23">
      <c r="H10" s="1" t="s">
        <v>15</v>
      </c>
      <c r="I10" s="1" t="s">
        <v>16</v>
      </c>
      <c r="J10" s="1" t="s">
        <v>16</v>
      </c>
      <c r="K10" s="1" t="s">
        <v>15</v>
      </c>
      <c r="M10" s="1" t="s">
        <v>15</v>
      </c>
      <c r="N10" s="1" t="s">
        <v>16</v>
      </c>
      <c r="O10" s="1" t="s">
        <v>16</v>
      </c>
      <c r="P10" s="1" t="s">
        <v>15</v>
      </c>
    </row>
    <row r="11" spans="1:23">
      <c r="A11" s="1" t="s">
        <v>19</v>
      </c>
      <c r="B11" s="2">
        <v>3775</v>
      </c>
      <c r="C11" s="2" t="s">
        <v>20</v>
      </c>
      <c r="D11" s="1">
        <v>1</v>
      </c>
      <c r="E11" s="1" t="s">
        <v>20</v>
      </c>
      <c r="F11" s="3">
        <v>12000</v>
      </c>
      <c r="G11" s="3">
        <v>400</v>
      </c>
      <c r="H11" s="2">
        <v>100</v>
      </c>
      <c r="I11" s="3">
        <v>12200.8</v>
      </c>
      <c r="J11" s="3">
        <v>12292</v>
      </c>
      <c r="K11" s="2">
        <v>25</v>
      </c>
      <c r="L11" s="1">
        <v>17500</v>
      </c>
      <c r="M11" s="2">
        <v>2525</v>
      </c>
      <c r="N11" s="1">
        <v>0.75</v>
      </c>
      <c r="O11" s="1">
        <v>0.8</v>
      </c>
      <c r="P11" s="2">
        <v>1075</v>
      </c>
      <c r="Q11" s="1">
        <v>-0.7</v>
      </c>
      <c r="R11" s="1">
        <v>0.8</v>
      </c>
      <c r="S11" s="1">
        <v>238.45</v>
      </c>
      <c r="T11" s="2">
        <v>8675</v>
      </c>
      <c r="U11" s="2">
        <v>-25125</v>
      </c>
      <c r="V11" s="2">
        <v>92975</v>
      </c>
      <c r="W11" s="1" t="s">
        <v>19</v>
      </c>
    </row>
    <row r="12" spans="1:23">
      <c r="A12" s="1" t="s">
        <v>19</v>
      </c>
      <c r="B12" s="2" t="s">
        <v>20</v>
      </c>
      <c r="C12" s="1" t="s">
        <v>20</v>
      </c>
      <c r="D12" s="1" t="s">
        <v>20</v>
      </c>
      <c r="E12" s="1" t="s">
        <v>20</v>
      </c>
      <c r="F12" s="3" t="s">
        <v>20</v>
      </c>
      <c r="G12" s="1" t="s">
        <v>20</v>
      </c>
      <c r="H12" s="2">
        <v>475</v>
      </c>
      <c r="I12" s="3">
        <v>11220.45</v>
      </c>
      <c r="J12" s="3">
        <v>12462.25</v>
      </c>
      <c r="K12" s="2">
        <v>125</v>
      </c>
      <c r="L12" s="1">
        <v>17600</v>
      </c>
      <c r="M12" s="2">
        <v>1000</v>
      </c>
      <c r="N12" s="1">
        <v>0.4</v>
      </c>
      <c r="O12" s="1">
        <v>2.4500000000000002</v>
      </c>
      <c r="P12" s="2">
        <v>1000</v>
      </c>
      <c r="Q12" s="1" t="s">
        <v>20</v>
      </c>
      <c r="R12" s="1" t="s">
        <v>20</v>
      </c>
      <c r="S12" s="1" t="s">
        <v>20</v>
      </c>
      <c r="T12" s="2" t="s">
        <v>20</v>
      </c>
      <c r="U12" s="2" t="s">
        <v>20</v>
      </c>
      <c r="V12" s="2">
        <v>25</v>
      </c>
      <c r="W12" s="1" t="s">
        <v>19</v>
      </c>
    </row>
    <row r="13" spans="1:23">
      <c r="A13" s="1" t="s">
        <v>19</v>
      </c>
      <c r="B13" s="1" t="s">
        <v>20</v>
      </c>
      <c r="C13" s="1" t="s">
        <v>20</v>
      </c>
      <c r="D13" s="1" t="s">
        <v>20</v>
      </c>
      <c r="E13" s="1" t="s">
        <v>20</v>
      </c>
      <c r="F13" s="1" t="s">
        <v>20</v>
      </c>
      <c r="G13" s="1" t="s">
        <v>20</v>
      </c>
      <c r="H13" s="2">
        <v>2400</v>
      </c>
      <c r="I13" s="3">
        <v>11123.4</v>
      </c>
      <c r="J13" s="3">
        <v>12425.55</v>
      </c>
      <c r="K13" s="2">
        <v>500</v>
      </c>
      <c r="L13" s="1">
        <v>17700</v>
      </c>
      <c r="M13" s="2">
        <v>1500</v>
      </c>
      <c r="N13" s="1">
        <v>0.15</v>
      </c>
      <c r="O13" s="1">
        <v>2.8</v>
      </c>
      <c r="P13" s="2">
        <v>1000</v>
      </c>
      <c r="Q13" s="1" t="s">
        <v>20</v>
      </c>
      <c r="R13" s="1" t="s">
        <v>20</v>
      </c>
      <c r="S13" s="1" t="s">
        <v>20</v>
      </c>
      <c r="T13" s="2" t="s">
        <v>20</v>
      </c>
      <c r="U13" s="2" t="s">
        <v>20</v>
      </c>
      <c r="V13" s="2" t="s">
        <v>20</v>
      </c>
      <c r="W13" s="1" t="s">
        <v>19</v>
      </c>
    </row>
    <row r="14" spans="1:23">
      <c r="A14" s="1" t="s">
        <v>19</v>
      </c>
      <c r="B14" s="1" t="s">
        <v>20</v>
      </c>
      <c r="C14" s="1" t="s">
        <v>20</v>
      </c>
      <c r="D14" s="1" t="s">
        <v>20</v>
      </c>
      <c r="E14" s="1" t="s">
        <v>20</v>
      </c>
      <c r="F14" s="1" t="s">
        <v>20</v>
      </c>
      <c r="G14" s="1" t="s">
        <v>20</v>
      </c>
      <c r="H14" s="2">
        <v>2400</v>
      </c>
      <c r="I14" s="3">
        <v>11018.9</v>
      </c>
      <c r="J14" s="3">
        <v>12316.45</v>
      </c>
      <c r="K14" s="2">
        <v>500</v>
      </c>
      <c r="L14" s="1">
        <v>17800</v>
      </c>
      <c r="M14" s="2">
        <v>1500</v>
      </c>
      <c r="N14" s="1">
        <v>0.15</v>
      </c>
      <c r="O14" s="1">
        <v>2.8</v>
      </c>
      <c r="P14" s="2">
        <v>1000</v>
      </c>
      <c r="Q14" s="1" t="s">
        <v>20</v>
      </c>
      <c r="R14" s="1" t="s">
        <v>20</v>
      </c>
      <c r="S14" s="1" t="s">
        <v>20</v>
      </c>
      <c r="T14" s="1" t="s">
        <v>20</v>
      </c>
      <c r="U14" s="2" t="s">
        <v>20</v>
      </c>
      <c r="V14" s="2" t="s">
        <v>20</v>
      </c>
      <c r="W14" s="1" t="s">
        <v>19</v>
      </c>
    </row>
    <row r="15" spans="1:23">
      <c r="A15" s="1" t="s">
        <v>19</v>
      </c>
      <c r="B15" s="2" t="s">
        <v>20</v>
      </c>
      <c r="C15" s="1" t="s">
        <v>20</v>
      </c>
      <c r="D15" s="1" t="s">
        <v>20</v>
      </c>
      <c r="E15" s="1" t="s">
        <v>20</v>
      </c>
      <c r="F15" s="1" t="s">
        <v>20</v>
      </c>
      <c r="G15" s="1" t="s">
        <v>20</v>
      </c>
      <c r="H15" s="2">
        <v>2400</v>
      </c>
      <c r="I15" s="3">
        <v>10917.1</v>
      </c>
      <c r="J15" s="3">
        <v>12196.8</v>
      </c>
      <c r="K15" s="2">
        <v>500</v>
      </c>
      <c r="L15" s="1">
        <v>17900</v>
      </c>
      <c r="M15" s="2">
        <v>1500</v>
      </c>
      <c r="N15" s="1">
        <v>0.15</v>
      </c>
      <c r="O15" s="1">
        <v>2.8</v>
      </c>
      <c r="P15" s="2">
        <v>1000</v>
      </c>
      <c r="Q15" s="1" t="s">
        <v>20</v>
      </c>
      <c r="R15" s="1" t="s">
        <v>20</v>
      </c>
      <c r="S15" s="1" t="s">
        <v>20</v>
      </c>
      <c r="T15" s="2" t="s">
        <v>20</v>
      </c>
      <c r="U15" s="2" t="s">
        <v>20</v>
      </c>
      <c r="V15" s="2" t="s">
        <v>20</v>
      </c>
      <c r="W15" s="1" t="s">
        <v>19</v>
      </c>
    </row>
    <row r="16" spans="1:23">
      <c r="A16" s="1" t="s">
        <v>19</v>
      </c>
      <c r="B16" s="2">
        <v>2025</v>
      </c>
      <c r="C16" s="1">
        <v>-675</v>
      </c>
      <c r="D16" s="1">
        <v>39</v>
      </c>
      <c r="E16" s="1" t="s">
        <v>20</v>
      </c>
      <c r="F16" s="3">
        <v>11777.1</v>
      </c>
      <c r="G16" s="3">
        <v>1116.0999999999999</v>
      </c>
      <c r="H16" s="2">
        <v>100</v>
      </c>
      <c r="I16" s="3">
        <v>11720.15</v>
      </c>
      <c r="J16" s="3">
        <v>11792</v>
      </c>
      <c r="K16" s="2">
        <v>25</v>
      </c>
      <c r="L16" s="1">
        <v>18000</v>
      </c>
      <c r="M16" s="2">
        <v>50</v>
      </c>
      <c r="N16" s="1">
        <v>0.8</v>
      </c>
      <c r="O16" s="1">
        <v>1.05</v>
      </c>
      <c r="P16" s="2">
        <v>2500</v>
      </c>
      <c r="Q16" s="1">
        <v>-0.45</v>
      </c>
      <c r="R16" s="1">
        <v>1.05</v>
      </c>
      <c r="S16" s="1">
        <v>223.51</v>
      </c>
      <c r="T16" s="2">
        <v>2593</v>
      </c>
      <c r="U16" s="2">
        <v>175</v>
      </c>
      <c r="V16" s="2">
        <v>14650</v>
      </c>
      <c r="W16" s="1" t="s">
        <v>19</v>
      </c>
    </row>
    <row r="17" spans="1:23">
      <c r="A17" s="1" t="s">
        <v>19</v>
      </c>
      <c r="B17" s="2">
        <v>400</v>
      </c>
      <c r="C17" s="1" t="s">
        <v>20</v>
      </c>
      <c r="D17" s="1" t="s">
        <v>20</v>
      </c>
      <c r="E17" s="1" t="s">
        <v>20</v>
      </c>
      <c r="F17" s="3" t="s">
        <v>20</v>
      </c>
      <c r="G17" s="1" t="s">
        <v>20</v>
      </c>
      <c r="H17" s="2">
        <v>375</v>
      </c>
      <c r="I17" s="3">
        <v>10720.85</v>
      </c>
      <c r="J17" s="3">
        <v>11998.6</v>
      </c>
      <c r="K17" s="2">
        <v>500</v>
      </c>
      <c r="L17" s="1">
        <v>18100</v>
      </c>
      <c r="M17" s="2">
        <v>1500</v>
      </c>
      <c r="N17" s="1">
        <v>0.25</v>
      </c>
      <c r="O17" s="1">
        <v>2</v>
      </c>
      <c r="P17" s="2">
        <v>50</v>
      </c>
      <c r="Q17" s="1" t="s">
        <v>20</v>
      </c>
      <c r="R17" s="1" t="s">
        <v>20</v>
      </c>
      <c r="S17" s="1" t="s">
        <v>20</v>
      </c>
      <c r="T17" s="2" t="s">
        <v>20</v>
      </c>
      <c r="U17" s="2" t="s">
        <v>20</v>
      </c>
      <c r="V17" s="2">
        <v>375</v>
      </c>
      <c r="W17" s="1" t="s">
        <v>19</v>
      </c>
    </row>
    <row r="18" spans="1:23">
      <c r="A18" s="1" t="s">
        <v>19</v>
      </c>
      <c r="B18" s="2" t="s">
        <v>20</v>
      </c>
      <c r="C18" s="1" t="s">
        <v>20</v>
      </c>
      <c r="D18" s="1" t="s">
        <v>20</v>
      </c>
      <c r="E18" s="1" t="s">
        <v>20</v>
      </c>
      <c r="F18" s="3" t="s">
        <v>20</v>
      </c>
      <c r="G18" s="3" t="s">
        <v>20</v>
      </c>
      <c r="H18" s="2">
        <v>2400</v>
      </c>
      <c r="I18" s="3">
        <v>10614.55</v>
      </c>
      <c r="J18" s="3">
        <v>11889.15</v>
      </c>
      <c r="K18" s="2">
        <v>500</v>
      </c>
      <c r="L18" s="1">
        <v>18200</v>
      </c>
      <c r="M18" s="2">
        <v>2500</v>
      </c>
      <c r="N18" s="1">
        <v>0.15</v>
      </c>
      <c r="O18" s="1">
        <v>3</v>
      </c>
      <c r="P18" s="2">
        <v>1000</v>
      </c>
      <c r="Q18" s="1" t="s">
        <v>20</v>
      </c>
      <c r="R18" s="1" t="s">
        <v>20</v>
      </c>
      <c r="S18" s="1" t="s">
        <v>20</v>
      </c>
      <c r="T18" s="1" t="s">
        <v>20</v>
      </c>
      <c r="U18" s="2" t="s">
        <v>20</v>
      </c>
      <c r="V18" s="2" t="s">
        <v>20</v>
      </c>
      <c r="W18" s="1" t="s">
        <v>19</v>
      </c>
    </row>
    <row r="19" spans="1:23">
      <c r="A19" s="1" t="s">
        <v>19</v>
      </c>
      <c r="B19" s="1" t="s">
        <v>20</v>
      </c>
      <c r="C19" s="1" t="s">
        <v>20</v>
      </c>
      <c r="D19" s="1" t="s">
        <v>20</v>
      </c>
      <c r="E19" s="1" t="s">
        <v>20</v>
      </c>
      <c r="F19" s="3" t="s">
        <v>20</v>
      </c>
      <c r="G19" s="1" t="s">
        <v>20</v>
      </c>
      <c r="H19" s="2">
        <v>2400</v>
      </c>
      <c r="I19" s="3">
        <v>10509.4</v>
      </c>
      <c r="J19" s="3">
        <v>11784.2</v>
      </c>
      <c r="K19" s="2">
        <v>500</v>
      </c>
      <c r="L19" s="1">
        <v>18300</v>
      </c>
      <c r="M19" s="2">
        <v>1500</v>
      </c>
      <c r="N19" s="1">
        <v>0.15</v>
      </c>
      <c r="O19" s="1">
        <v>3</v>
      </c>
      <c r="P19" s="2">
        <v>1000</v>
      </c>
      <c r="Q19" s="1" t="s">
        <v>20</v>
      </c>
      <c r="R19" s="1" t="s">
        <v>20</v>
      </c>
      <c r="S19" s="1" t="s">
        <v>20</v>
      </c>
      <c r="T19" s="1" t="s">
        <v>20</v>
      </c>
      <c r="U19" s="2" t="s">
        <v>20</v>
      </c>
      <c r="V19" s="2" t="s">
        <v>20</v>
      </c>
      <c r="W19" s="1" t="s">
        <v>19</v>
      </c>
    </row>
    <row r="20" spans="1:23">
      <c r="A20" s="1" t="s">
        <v>19</v>
      </c>
      <c r="B20" s="2" t="s">
        <v>20</v>
      </c>
      <c r="C20" s="1" t="s">
        <v>20</v>
      </c>
      <c r="D20" s="1" t="s">
        <v>20</v>
      </c>
      <c r="E20" s="1" t="s">
        <v>20</v>
      </c>
      <c r="F20" s="3" t="s">
        <v>20</v>
      </c>
      <c r="G20" s="1" t="s">
        <v>20</v>
      </c>
      <c r="H20" s="2">
        <v>375</v>
      </c>
      <c r="I20" s="3">
        <v>10410.15</v>
      </c>
      <c r="J20" s="3">
        <v>11682.2</v>
      </c>
      <c r="K20" s="2">
        <v>500</v>
      </c>
      <c r="L20" s="1">
        <v>18400</v>
      </c>
      <c r="M20" s="2">
        <v>1500</v>
      </c>
      <c r="N20" s="1">
        <v>0.25</v>
      </c>
      <c r="O20" s="1">
        <v>2.9</v>
      </c>
      <c r="P20" s="2">
        <v>1000</v>
      </c>
      <c r="Q20" s="1" t="s">
        <v>20</v>
      </c>
      <c r="R20" s="1" t="s">
        <v>20</v>
      </c>
      <c r="S20" s="1" t="s">
        <v>20</v>
      </c>
      <c r="T20" s="1" t="s">
        <v>20</v>
      </c>
      <c r="U20" s="2" t="s">
        <v>20</v>
      </c>
      <c r="V20" s="2" t="s">
        <v>20</v>
      </c>
      <c r="W20" s="1" t="s">
        <v>19</v>
      </c>
    </row>
    <row r="21" spans="1:23">
      <c r="A21" s="1" t="s">
        <v>19</v>
      </c>
      <c r="B21" s="2">
        <v>200</v>
      </c>
      <c r="C21" s="1" t="s">
        <v>20</v>
      </c>
      <c r="D21" s="1" t="s">
        <v>20</v>
      </c>
      <c r="E21" s="1" t="s">
        <v>20</v>
      </c>
      <c r="F21" s="3" t="s">
        <v>20</v>
      </c>
      <c r="G21" s="1" t="s">
        <v>20</v>
      </c>
      <c r="H21" s="2">
        <v>100</v>
      </c>
      <c r="I21" s="3">
        <v>11221.1</v>
      </c>
      <c r="J21" s="3">
        <v>11309.1</v>
      </c>
      <c r="K21" s="2">
        <v>100</v>
      </c>
      <c r="L21" s="1">
        <v>18500</v>
      </c>
      <c r="M21" s="2">
        <v>25</v>
      </c>
      <c r="N21" s="1">
        <v>0.8</v>
      </c>
      <c r="O21" s="1">
        <v>1.1499999999999999</v>
      </c>
      <c r="P21" s="2">
        <v>100</v>
      </c>
      <c r="Q21" s="1">
        <v>-0.85</v>
      </c>
      <c r="R21" s="1">
        <v>1</v>
      </c>
      <c r="S21" s="1">
        <v>203.78</v>
      </c>
      <c r="T21" s="2">
        <v>39</v>
      </c>
      <c r="U21" s="2">
        <v>375</v>
      </c>
      <c r="V21" s="2">
        <v>4475</v>
      </c>
      <c r="W21" s="1" t="s">
        <v>19</v>
      </c>
    </row>
    <row r="22" spans="1:23">
      <c r="A22" s="1" t="s">
        <v>19</v>
      </c>
      <c r="B22" s="1" t="s">
        <v>20</v>
      </c>
      <c r="C22" s="1" t="s">
        <v>20</v>
      </c>
      <c r="D22" s="1" t="s">
        <v>20</v>
      </c>
      <c r="E22" s="1" t="s">
        <v>20</v>
      </c>
      <c r="F22" s="3" t="s">
        <v>20</v>
      </c>
      <c r="G22" s="1" t="s">
        <v>20</v>
      </c>
      <c r="H22" s="2">
        <v>2400</v>
      </c>
      <c r="I22" s="3">
        <v>10206.299999999999</v>
      </c>
      <c r="J22" s="3">
        <v>11459.35</v>
      </c>
      <c r="K22" s="2">
        <v>500</v>
      </c>
      <c r="L22" s="1">
        <v>18600</v>
      </c>
      <c r="M22" s="2">
        <v>1500</v>
      </c>
      <c r="N22" s="1">
        <v>0.15</v>
      </c>
      <c r="O22" s="1">
        <v>3</v>
      </c>
      <c r="P22" s="2">
        <v>1000</v>
      </c>
      <c r="Q22" s="1" t="s">
        <v>20</v>
      </c>
      <c r="R22" s="1" t="s">
        <v>20</v>
      </c>
      <c r="S22" s="1" t="s">
        <v>20</v>
      </c>
      <c r="T22" s="1" t="s">
        <v>20</v>
      </c>
      <c r="U22" s="2" t="s">
        <v>20</v>
      </c>
      <c r="V22" s="2" t="s">
        <v>20</v>
      </c>
      <c r="W22" s="1" t="s">
        <v>19</v>
      </c>
    </row>
    <row r="23" spans="1:23">
      <c r="A23" s="1" t="s">
        <v>19</v>
      </c>
      <c r="B23" s="1" t="s">
        <v>20</v>
      </c>
      <c r="C23" s="1" t="s">
        <v>20</v>
      </c>
      <c r="D23" s="1" t="s">
        <v>20</v>
      </c>
      <c r="E23" s="1" t="s">
        <v>20</v>
      </c>
      <c r="F23" s="3" t="s">
        <v>20</v>
      </c>
      <c r="G23" s="1" t="s">
        <v>20</v>
      </c>
      <c r="H23" s="2">
        <v>2400</v>
      </c>
      <c r="I23" s="3">
        <v>10104.9</v>
      </c>
      <c r="J23" s="3">
        <v>11359.75</v>
      </c>
      <c r="K23" s="2">
        <v>500</v>
      </c>
      <c r="L23" s="1">
        <v>18700</v>
      </c>
      <c r="M23" s="2">
        <v>1500</v>
      </c>
      <c r="N23" s="1">
        <v>0.15</v>
      </c>
      <c r="O23" s="1">
        <v>3</v>
      </c>
      <c r="P23" s="2">
        <v>1000</v>
      </c>
      <c r="Q23" s="1" t="s">
        <v>20</v>
      </c>
      <c r="R23" s="1" t="s">
        <v>20</v>
      </c>
      <c r="S23" s="1" t="s">
        <v>20</v>
      </c>
      <c r="T23" s="1" t="s">
        <v>20</v>
      </c>
      <c r="U23" s="2" t="s">
        <v>20</v>
      </c>
      <c r="V23" s="2" t="s">
        <v>20</v>
      </c>
      <c r="W23" s="1" t="s">
        <v>19</v>
      </c>
    </row>
    <row r="24" spans="1:23">
      <c r="A24" s="1" t="s">
        <v>19</v>
      </c>
      <c r="B24" s="2" t="s">
        <v>20</v>
      </c>
      <c r="C24" s="1" t="s">
        <v>20</v>
      </c>
      <c r="D24" s="1" t="s">
        <v>20</v>
      </c>
      <c r="E24" s="1" t="s">
        <v>20</v>
      </c>
      <c r="F24" s="3" t="s">
        <v>20</v>
      </c>
      <c r="G24" s="1" t="s">
        <v>20</v>
      </c>
      <c r="H24" s="2">
        <v>2400</v>
      </c>
      <c r="I24" s="3">
        <v>10004.75</v>
      </c>
      <c r="J24" s="3">
        <v>11252.25</v>
      </c>
      <c r="K24" s="2">
        <v>500</v>
      </c>
      <c r="L24" s="1">
        <v>18800</v>
      </c>
      <c r="M24" s="2">
        <v>1500</v>
      </c>
      <c r="N24" s="1">
        <v>0.15</v>
      </c>
      <c r="O24" s="1">
        <v>3</v>
      </c>
      <c r="P24" s="2">
        <v>1000</v>
      </c>
      <c r="Q24" s="1" t="s">
        <v>20</v>
      </c>
      <c r="R24" s="1" t="s">
        <v>20</v>
      </c>
      <c r="S24" s="1" t="s">
        <v>20</v>
      </c>
      <c r="T24" s="1" t="s">
        <v>20</v>
      </c>
      <c r="U24" s="2" t="s">
        <v>20</v>
      </c>
      <c r="V24" s="2" t="s">
        <v>20</v>
      </c>
      <c r="W24" s="1" t="s">
        <v>19</v>
      </c>
    </row>
    <row r="25" spans="1:23">
      <c r="A25" s="1" t="s">
        <v>19</v>
      </c>
      <c r="B25" s="2" t="s">
        <v>20</v>
      </c>
      <c r="C25" s="1" t="s">
        <v>20</v>
      </c>
      <c r="D25" s="1" t="s">
        <v>20</v>
      </c>
      <c r="E25" s="1" t="s">
        <v>20</v>
      </c>
      <c r="F25" s="3" t="s">
        <v>20</v>
      </c>
      <c r="G25" s="1" t="s">
        <v>20</v>
      </c>
      <c r="H25" s="2">
        <v>2400</v>
      </c>
      <c r="I25" s="3">
        <v>9905.5499999999993</v>
      </c>
      <c r="J25" s="3">
        <v>11144.85</v>
      </c>
      <c r="K25" s="2">
        <v>500</v>
      </c>
      <c r="L25" s="1">
        <v>18900</v>
      </c>
      <c r="M25" s="2">
        <v>1500</v>
      </c>
      <c r="N25" s="1">
        <v>0.15</v>
      </c>
      <c r="O25" s="1">
        <v>3</v>
      </c>
      <c r="P25" s="2">
        <v>1000</v>
      </c>
      <c r="Q25" s="1" t="s">
        <v>20</v>
      </c>
      <c r="R25" s="1" t="s">
        <v>20</v>
      </c>
      <c r="S25" s="1" t="s">
        <v>20</v>
      </c>
      <c r="T25" s="1" t="s">
        <v>20</v>
      </c>
      <c r="U25" s="2" t="s">
        <v>20</v>
      </c>
      <c r="V25" s="2" t="s">
        <v>20</v>
      </c>
      <c r="W25" s="1" t="s">
        <v>19</v>
      </c>
    </row>
    <row r="26" spans="1:23">
      <c r="A26" s="1" t="s">
        <v>19</v>
      </c>
      <c r="B26" s="2">
        <v>3550</v>
      </c>
      <c r="C26" s="2">
        <v>-2300</v>
      </c>
      <c r="D26" s="1">
        <v>146</v>
      </c>
      <c r="E26" s="1" t="s">
        <v>20</v>
      </c>
      <c r="F26" s="3">
        <v>10775</v>
      </c>
      <c r="G26" s="1">
        <v>823.05</v>
      </c>
      <c r="H26" s="2">
        <v>100</v>
      </c>
      <c r="I26" s="3">
        <v>10701.25</v>
      </c>
      <c r="J26" s="3">
        <v>10798</v>
      </c>
      <c r="K26" s="2">
        <v>25</v>
      </c>
      <c r="L26" s="1">
        <v>19000</v>
      </c>
      <c r="M26" s="2">
        <v>1975</v>
      </c>
      <c r="N26" s="1">
        <v>0.8</v>
      </c>
      <c r="O26" s="1">
        <v>0.85</v>
      </c>
      <c r="P26" s="2">
        <v>675</v>
      </c>
      <c r="Q26" s="1">
        <v>-0.95</v>
      </c>
      <c r="R26" s="1">
        <v>0.8</v>
      </c>
      <c r="S26" s="1">
        <v>198.75</v>
      </c>
      <c r="T26" s="2">
        <v>873</v>
      </c>
      <c r="U26" s="2">
        <v>2450</v>
      </c>
      <c r="V26" s="2">
        <v>25075</v>
      </c>
      <c r="W26" s="1" t="s">
        <v>19</v>
      </c>
    </row>
    <row r="27" spans="1:23">
      <c r="A27" s="1" t="s">
        <v>19</v>
      </c>
      <c r="B27" s="2" t="s">
        <v>20</v>
      </c>
      <c r="C27" s="1" t="s">
        <v>20</v>
      </c>
      <c r="D27" s="1" t="s">
        <v>20</v>
      </c>
      <c r="E27" s="1" t="s">
        <v>20</v>
      </c>
      <c r="F27" s="3" t="s">
        <v>20</v>
      </c>
      <c r="G27" s="1" t="s">
        <v>20</v>
      </c>
      <c r="H27" s="2">
        <v>375</v>
      </c>
      <c r="I27" s="3">
        <v>9695.4</v>
      </c>
      <c r="J27" s="3">
        <v>10935.95</v>
      </c>
      <c r="K27" s="2">
        <v>500</v>
      </c>
      <c r="L27" s="1">
        <v>19100</v>
      </c>
      <c r="M27" s="2">
        <v>1500</v>
      </c>
      <c r="N27" s="1">
        <v>0.15</v>
      </c>
      <c r="O27" s="1">
        <v>3</v>
      </c>
      <c r="P27" s="2">
        <v>1000</v>
      </c>
      <c r="Q27" s="1" t="s">
        <v>20</v>
      </c>
      <c r="R27" s="1" t="s">
        <v>20</v>
      </c>
      <c r="S27" s="1" t="s">
        <v>20</v>
      </c>
      <c r="T27" s="2" t="s">
        <v>20</v>
      </c>
      <c r="U27" s="2" t="s">
        <v>20</v>
      </c>
      <c r="V27" s="2" t="s">
        <v>20</v>
      </c>
      <c r="W27" s="1" t="s">
        <v>19</v>
      </c>
    </row>
    <row r="28" spans="1:23">
      <c r="A28" s="1" t="s">
        <v>19</v>
      </c>
      <c r="B28" s="2" t="s">
        <v>20</v>
      </c>
      <c r="C28" s="1" t="s">
        <v>20</v>
      </c>
      <c r="D28" s="1" t="s">
        <v>20</v>
      </c>
      <c r="E28" s="1" t="s">
        <v>20</v>
      </c>
      <c r="F28" s="3" t="s">
        <v>20</v>
      </c>
      <c r="G28" s="1" t="s">
        <v>20</v>
      </c>
      <c r="H28" s="2">
        <v>2400</v>
      </c>
      <c r="I28" s="3">
        <v>9590.4500000000007</v>
      </c>
      <c r="J28" s="3">
        <v>10828.45</v>
      </c>
      <c r="K28" s="2">
        <v>500</v>
      </c>
      <c r="L28" s="1">
        <v>19200</v>
      </c>
      <c r="M28" s="2">
        <v>1500</v>
      </c>
      <c r="N28" s="1">
        <v>0.15</v>
      </c>
      <c r="O28" s="1" t="s">
        <v>20</v>
      </c>
      <c r="P28" s="2" t="s">
        <v>20</v>
      </c>
      <c r="Q28" s="1" t="s">
        <v>20</v>
      </c>
      <c r="R28" s="1" t="s">
        <v>20</v>
      </c>
      <c r="S28" s="1" t="s">
        <v>20</v>
      </c>
      <c r="T28" s="1" t="s">
        <v>20</v>
      </c>
      <c r="U28" s="2" t="s">
        <v>20</v>
      </c>
      <c r="V28" s="2" t="s">
        <v>20</v>
      </c>
      <c r="W28" s="1" t="s">
        <v>19</v>
      </c>
    </row>
    <row r="29" spans="1:23">
      <c r="A29" s="1" t="s">
        <v>19</v>
      </c>
      <c r="B29" s="2" t="s">
        <v>20</v>
      </c>
      <c r="C29" s="1" t="s">
        <v>20</v>
      </c>
      <c r="D29" s="1" t="s">
        <v>20</v>
      </c>
      <c r="E29" s="1" t="s">
        <v>20</v>
      </c>
      <c r="F29" s="3" t="s">
        <v>20</v>
      </c>
      <c r="G29" s="1" t="s">
        <v>20</v>
      </c>
      <c r="H29" s="2">
        <v>2400</v>
      </c>
      <c r="I29" s="3">
        <v>9495.85</v>
      </c>
      <c r="J29" s="3">
        <v>10721.55</v>
      </c>
      <c r="K29" s="2">
        <v>500</v>
      </c>
      <c r="L29" s="1">
        <v>19300</v>
      </c>
      <c r="M29" s="2">
        <v>1500</v>
      </c>
      <c r="N29" s="1">
        <v>0.15</v>
      </c>
      <c r="O29" s="1" t="s">
        <v>20</v>
      </c>
      <c r="P29" s="2" t="s">
        <v>20</v>
      </c>
      <c r="Q29" s="1" t="s">
        <v>20</v>
      </c>
      <c r="R29" s="1" t="s">
        <v>20</v>
      </c>
      <c r="S29" s="1" t="s">
        <v>20</v>
      </c>
      <c r="T29" s="1" t="s">
        <v>20</v>
      </c>
      <c r="U29" s="2" t="s">
        <v>20</v>
      </c>
      <c r="V29" s="2" t="s">
        <v>20</v>
      </c>
      <c r="W29" s="1" t="s">
        <v>19</v>
      </c>
    </row>
    <row r="30" spans="1:23">
      <c r="A30" s="1" t="s">
        <v>19</v>
      </c>
      <c r="B30" s="2" t="s">
        <v>20</v>
      </c>
      <c r="C30" s="1" t="s">
        <v>20</v>
      </c>
      <c r="D30" s="1" t="s">
        <v>20</v>
      </c>
      <c r="E30" s="1" t="s">
        <v>20</v>
      </c>
      <c r="F30" s="3" t="s">
        <v>20</v>
      </c>
      <c r="G30" s="1" t="s">
        <v>20</v>
      </c>
      <c r="H30" s="2">
        <v>2400</v>
      </c>
      <c r="I30" s="3">
        <v>9395.65</v>
      </c>
      <c r="J30" s="3">
        <v>10610.05</v>
      </c>
      <c r="K30" s="2">
        <v>500</v>
      </c>
      <c r="L30" s="1">
        <v>19400</v>
      </c>
      <c r="M30" s="2">
        <v>1500</v>
      </c>
      <c r="N30" s="1">
        <v>0.15</v>
      </c>
      <c r="O30" s="1" t="s">
        <v>20</v>
      </c>
      <c r="P30" s="2" t="s">
        <v>20</v>
      </c>
      <c r="Q30" s="1" t="s">
        <v>20</v>
      </c>
      <c r="R30" s="1" t="s">
        <v>20</v>
      </c>
      <c r="S30" s="1" t="s">
        <v>20</v>
      </c>
      <c r="T30" s="1" t="s">
        <v>20</v>
      </c>
      <c r="U30" s="2" t="s">
        <v>20</v>
      </c>
      <c r="V30" s="2" t="s">
        <v>20</v>
      </c>
      <c r="W30" s="1" t="s">
        <v>19</v>
      </c>
    </row>
    <row r="31" spans="1:23">
      <c r="A31" s="1" t="s">
        <v>19</v>
      </c>
      <c r="B31" s="2">
        <v>1275</v>
      </c>
      <c r="C31" s="1">
        <v>-200</v>
      </c>
      <c r="D31" s="1">
        <v>16</v>
      </c>
      <c r="E31" s="1" t="s">
        <v>20</v>
      </c>
      <c r="F31" s="3">
        <v>10277</v>
      </c>
      <c r="G31" s="3">
        <v>677</v>
      </c>
      <c r="H31" s="2">
        <v>100</v>
      </c>
      <c r="I31" s="3">
        <v>10230.5</v>
      </c>
      <c r="J31" s="3">
        <v>10297</v>
      </c>
      <c r="K31" s="2">
        <v>25</v>
      </c>
      <c r="L31" s="1">
        <v>19500</v>
      </c>
      <c r="M31" s="2">
        <v>1675</v>
      </c>
      <c r="N31" s="1">
        <v>0.7</v>
      </c>
      <c r="O31" s="1">
        <v>0.95</v>
      </c>
      <c r="P31" s="2">
        <v>50</v>
      </c>
      <c r="Q31" s="1">
        <v>-0.8</v>
      </c>
      <c r="R31" s="1">
        <v>0.85</v>
      </c>
      <c r="S31" s="1" t="s">
        <v>20</v>
      </c>
      <c r="T31" s="2">
        <v>99</v>
      </c>
      <c r="U31" s="2">
        <v>-1250</v>
      </c>
      <c r="V31" s="2">
        <v>22150</v>
      </c>
      <c r="W31" s="1" t="s">
        <v>19</v>
      </c>
    </row>
    <row r="32" spans="1:23">
      <c r="A32" s="1" t="s">
        <v>19</v>
      </c>
      <c r="B32" s="2" t="s">
        <v>20</v>
      </c>
      <c r="C32" s="1" t="s">
        <v>20</v>
      </c>
      <c r="D32" s="1" t="s">
        <v>20</v>
      </c>
      <c r="E32" s="1" t="s">
        <v>20</v>
      </c>
      <c r="F32" s="3" t="s">
        <v>20</v>
      </c>
      <c r="G32" s="1" t="s">
        <v>20</v>
      </c>
      <c r="H32" s="2">
        <v>2400</v>
      </c>
      <c r="I32" s="3">
        <v>9191.7999999999993</v>
      </c>
      <c r="J32" s="3">
        <v>10411.950000000001</v>
      </c>
      <c r="K32" s="2">
        <v>500</v>
      </c>
      <c r="L32" s="1">
        <v>19600</v>
      </c>
      <c r="M32" s="2">
        <v>1500</v>
      </c>
      <c r="N32" s="1">
        <v>0.15</v>
      </c>
      <c r="O32" s="1" t="s">
        <v>20</v>
      </c>
      <c r="P32" s="2" t="s">
        <v>20</v>
      </c>
      <c r="Q32" s="1" t="s">
        <v>20</v>
      </c>
      <c r="R32" s="1" t="s">
        <v>20</v>
      </c>
      <c r="S32" s="1" t="s">
        <v>20</v>
      </c>
      <c r="T32" s="2" t="s">
        <v>20</v>
      </c>
      <c r="U32" s="2" t="s">
        <v>20</v>
      </c>
      <c r="V32" s="2" t="s">
        <v>20</v>
      </c>
      <c r="W32" s="1" t="s">
        <v>19</v>
      </c>
    </row>
    <row r="33" spans="1:23">
      <c r="A33" s="1" t="s">
        <v>19</v>
      </c>
      <c r="B33" s="2" t="s">
        <v>20</v>
      </c>
      <c r="C33" s="1" t="s">
        <v>20</v>
      </c>
      <c r="D33" s="1" t="s">
        <v>20</v>
      </c>
      <c r="E33" s="1" t="s">
        <v>20</v>
      </c>
      <c r="F33" s="3" t="s">
        <v>20</v>
      </c>
      <c r="G33" s="1" t="s">
        <v>20</v>
      </c>
      <c r="H33" s="2">
        <v>2400</v>
      </c>
      <c r="I33" s="3">
        <v>9094</v>
      </c>
      <c r="J33" s="3">
        <v>10294.5</v>
      </c>
      <c r="K33" s="2">
        <v>500</v>
      </c>
      <c r="L33" s="1">
        <v>19700</v>
      </c>
      <c r="M33" s="2">
        <v>1500</v>
      </c>
      <c r="N33" s="1">
        <v>0.15</v>
      </c>
      <c r="O33" s="1" t="s">
        <v>20</v>
      </c>
      <c r="P33" s="2" t="s">
        <v>20</v>
      </c>
      <c r="Q33" s="1" t="s">
        <v>20</v>
      </c>
      <c r="R33" s="1" t="s">
        <v>20</v>
      </c>
      <c r="S33" s="1" t="s">
        <v>20</v>
      </c>
      <c r="T33" s="1" t="s">
        <v>20</v>
      </c>
      <c r="U33" s="2" t="s">
        <v>20</v>
      </c>
      <c r="V33" s="2" t="s">
        <v>20</v>
      </c>
      <c r="W33" s="1" t="s">
        <v>19</v>
      </c>
    </row>
    <row r="34" spans="1:23">
      <c r="A34" s="1" t="s">
        <v>19</v>
      </c>
      <c r="B34" s="2" t="s">
        <v>20</v>
      </c>
      <c r="C34" s="1" t="s">
        <v>20</v>
      </c>
      <c r="D34" s="1" t="s">
        <v>20</v>
      </c>
      <c r="E34" s="1" t="s">
        <v>20</v>
      </c>
      <c r="F34" s="3" t="s">
        <v>20</v>
      </c>
      <c r="G34" s="1" t="s">
        <v>20</v>
      </c>
      <c r="H34" s="2">
        <v>2400</v>
      </c>
      <c r="I34" s="3">
        <v>8988.2999999999993</v>
      </c>
      <c r="J34" s="3">
        <v>10197.15</v>
      </c>
      <c r="K34" s="2">
        <v>500</v>
      </c>
      <c r="L34" s="1">
        <v>19800</v>
      </c>
      <c r="M34" s="2">
        <v>100</v>
      </c>
      <c r="N34" s="1">
        <v>0.5</v>
      </c>
      <c r="O34" s="1" t="s">
        <v>20</v>
      </c>
      <c r="P34" s="2" t="s">
        <v>20</v>
      </c>
      <c r="Q34" s="1" t="s">
        <v>20</v>
      </c>
      <c r="R34" s="1" t="s">
        <v>20</v>
      </c>
      <c r="S34" s="1" t="s">
        <v>20</v>
      </c>
      <c r="T34" s="1" t="s">
        <v>20</v>
      </c>
      <c r="U34" s="2" t="s">
        <v>20</v>
      </c>
      <c r="V34" s="2">
        <v>125</v>
      </c>
      <c r="W34" s="1" t="s">
        <v>19</v>
      </c>
    </row>
    <row r="35" spans="1:23">
      <c r="A35" s="1" t="s">
        <v>19</v>
      </c>
      <c r="B35" s="2" t="s">
        <v>20</v>
      </c>
      <c r="C35" s="1" t="s">
        <v>20</v>
      </c>
      <c r="D35" s="1" t="s">
        <v>20</v>
      </c>
      <c r="E35" s="1" t="s">
        <v>20</v>
      </c>
      <c r="F35" s="3" t="s">
        <v>20</v>
      </c>
      <c r="G35" s="1" t="s">
        <v>20</v>
      </c>
      <c r="H35" s="2">
        <v>2400</v>
      </c>
      <c r="I35" s="3">
        <v>8892.7000000000007</v>
      </c>
      <c r="J35" s="3">
        <v>10080.200000000001</v>
      </c>
      <c r="K35" s="2">
        <v>500</v>
      </c>
      <c r="L35" s="1">
        <v>19900</v>
      </c>
      <c r="M35" s="2">
        <v>1500</v>
      </c>
      <c r="N35" s="1">
        <v>0.15</v>
      </c>
      <c r="O35" s="1" t="s">
        <v>20</v>
      </c>
      <c r="P35" s="2" t="s">
        <v>20</v>
      </c>
      <c r="Q35" s="1" t="s">
        <v>20</v>
      </c>
      <c r="R35" s="1" t="s">
        <v>20</v>
      </c>
      <c r="S35" s="1" t="s">
        <v>20</v>
      </c>
      <c r="T35" s="1" t="s">
        <v>20</v>
      </c>
      <c r="U35" s="2" t="s">
        <v>20</v>
      </c>
      <c r="V35" s="2" t="s">
        <v>20</v>
      </c>
      <c r="W35" s="1" t="s">
        <v>19</v>
      </c>
    </row>
    <row r="36" spans="1:23">
      <c r="A36" s="1" t="s">
        <v>19</v>
      </c>
      <c r="B36" s="2">
        <v>8775</v>
      </c>
      <c r="C36" s="1">
        <v>-725</v>
      </c>
      <c r="D36" s="1">
        <v>45</v>
      </c>
      <c r="E36" s="1" t="s">
        <v>20</v>
      </c>
      <c r="F36" s="3">
        <v>9770</v>
      </c>
      <c r="G36" s="3">
        <v>660.95</v>
      </c>
      <c r="H36" s="2">
        <v>100</v>
      </c>
      <c r="I36" s="3">
        <v>9710.5499999999993</v>
      </c>
      <c r="J36" s="3">
        <v>9795</v>
      </c>
      <c r="K36" s="2">
        <v>25</v>
      </c>
      <c r="L36" s="1">
        <v>20000</v>
      </c>
      <c r="M36" s="2">
        <v>25</v>
      </c>
      <c r="N36" s="1">
        <v>0.75</v>
      </c>
      <c r="O36" s="1">
        <v>0.8</v>
      </c>
      <c r="P36" s="2">
        <v>75</v>
      </c>
      <c r="Q36" s="1">
        <v>-0.9</v>
      </c>
      <c r="R36" s="1">
        <v>0.75</v>
      </c>
      <c r="S36" s="1">
        <v>174.11</v>
      </c>
      <c r="T36" s="2">
        <v>2637</v>
      </c>
      <c r="U36" s="2">
        <v>-5250</v>
      </c>
      <c r="V36" s="2">
        <v>86900</v>
      </c>
      <c r="W36" s="1" t="s">
        <v>19</v>
      </c>
    </row>
    <row r="37" spans="1:23">
      <c r="A37" s="1" t="s">
        <v>19</v>
      </c>
      <c r="B37" s="2" t="s">
        <v>20</v>
      </c>
      <c r="C37" s="1" t="s">
        <v>20</v>
      </c>
      <c r="D37" s="1" t="s">
        <v>20</v>
      </c>
      <c r="E37" s="1" t="s">
        <v>20</v>
      </c>
      <c r="F37" s="3" t="s">
        <v>20</v>
      </c>
      <c r="G37" s="1" t="s">
        <v>20</v>
      </c>
      <c r="H37" s="2">
        <v>2400</v>
      </c>
      <c r="I37" s="3">
        <v>8683.0499999999993</v>
      </c>
      <c r="J37" s="3">
        <v>9858.65</v>
      </c>
      <c r="K37" s="2">
        <v>500</v>
      </c>
      <c r="L37" s="1">
        <v>20100</v>
      </c>
      <c r="M37" s="2">
        <v>1500</v>
      </c>
      <c r="N37" s="1">
        <v>0.15</v>
      </c>
      <c r="O37" s="1" t="s">
        <v>20</v>
      </c>
      <c r="P37" s="2" t="s">
        <v>20</v>
      </c>
      <c r="Q37" s="1" t="s">
        <v>20</v>
      </c>
      <c r="R37" s="1" t="s">
        <v>20</v>
      </c>
      <c r="S37" s="1" t="s">
        <v>20</v>
      </c>
      <c r="T37" s="2" t="s">
        <v>20</v>
      </c>
      <c r="U37" s="2" t="s">
        <v>20</v>
      </c>
      <c r="V37" s="2" t="s">
        <v>20</v>
      </c>
      <c r="W37" s="1" t="s">
        <v>19</v>
      </c>
    </row>
    <row r="38" spans="1:23">
      <c r="A38" s="1" t="s">
        <v>19</v>
      </c>
      <c r="B38" s="2" t="s">
        <v>20</v>
      </c>
      <c r="C38" s="1" t="s">
        <v>20</v>
      </c>
      <c r="D38" s="1" t="s">
        <v>20</v>
      </c>
      <c r="E38" s="1" t="s">
        <v>20</v>
      </c>
      <c r="F38" s="3" t="s">
        <v>20</v>
      </c>
      <c r="G38" s="1" t="s">
        <v>20</v>
      </c>
      <c r="H38" s="2">
        <v>2400</v>
      </c>
      <c r="I38" s="3">
        <v>8581.0499999999993</v>
      </c>
      <c r="J38" s="3">
        <v>9740.9500000000007</v>
      </c>
      <c r="K38" s="2">
        <v>500</v>
      </c>
      <c r="L38" s="1">
        <v>20200</v>
      </c>
      <c r="M38" s="2">
        <v>1500</v>
      </c>
      <c r="N38" s="1">
        <v>0.15</v>
      </c>
      <c r="O38" s="1" t="s">
        <v>20</v>
      </c>
      <c r="P38" s="2" t="s">
        <v>20</v>
      </c>
      <c r="Q38" s="1" t="s">
        <v>20</v>
      </c>
      <c r="R38" s="1" t="s">
        <v>20</v>
      </c>
      <c r="S38" s="1" t="s">
        <v>20</v>
      </c>
      <c r="T38" s="1" t="s">
        <v>20</v>
      </c>
      <c r="U38" s="2" t="s">
        <v>20</v>
      </c>
      <c r="V38" s="2">
        <v>125</v>
      </c>
      <c r="W38" s="1" t="s">
        <v>19</v>
      </c>
    </row>
    <row r="39" spans="1:23">
      <c r="A39" s="1" t="s">
        <v>19</v>
      </c>
      <c r="B39" s="2" t="s">
        <v>20</v>
      </c>
      <c r="C39" s="1" t="s">
        <v>20</v>
      </c>
      <c r="D39" s="1" t="s">
        <v>20</v>
      </c>
      <c r="E39" s="1" t="s">
        <v>20</v>
      </c>
      <c r="F39" s="3" t="s">
        <v>20</v>
      </c>
      <c r="G39" s="1" t="s">
        <v>20</v>
      </c>
      <c r="H39" s="2">
        <v>2400</v>
      </c>
      <c r="I39" s="3">
        <v>8485.15</v>
      </c>
      <c r="J39" s="3">
        <v>9647.9</v>
      </c>
      <c r="K39" s="2">
        <v>500</v>
      </c>
      <c r="L39" s="1">
        <v>20300</v>
      </c>
      <c r="M39" s="2">
        <v>1500</v>
      </c>
      <c r="N39" s="1">
        <v>0.15</v>
      </c>
      <c r="O39" s="1" t="s">
        <v>20</v>
      </c>
      <c r="P39" s="2" t="s">
        <v>20</v>
      </c>
      <c r="Q39" s="1" t="s">
        <v>20</v>
      </c>
      <c r="R39" s="1" t="s">
        <v>20</v>
      </c>
      <c r="S39" s="1" t="s">
        <v>20</v>
      </c>
      <c r="T39" s="2" t="s">
        <v>20</v>
      </c>
      <c r="U39" s="2" t="s">
        <v>20</v>
      </c>
      <c r="V39" s="2" t="s">
        <v>20</v>
      </c>
      <c r="W39" s="1" t="s">
        <v>19</v>
      </c>
    </row>
    <row r="40" spans="1:23">
      <c r="A40" s="1" t="s">
        <v>19</v>
      </c>
      <c r="B40" s="2" t="s">
        <v>20</v>
      </c>
      <c r="C40" s="1" t="s">
        <v>20</v>
      </c>
      <c r="D40" s="1" t="s">
        <v>20</v>
      </c>
      <c r="E40" s="1" t="s">
        <v>20</v>
      </c>
      <c r="F40" s="3" t="s">
        <v>20</v>
      </c>
      <c r="G40" s="1" t="s">
        <v>20</v>
      </c>
      <c r="H40" s="2">
        <v>2400</v>
      </c>
      <c r="I40" s="3">
        <v>8373.4500000000007</v>
      </c>
      <c r="J40" s="3">
        <v>9550.15</v>
      </c>
      <c r="K40" s="2">
        <v>500</v>
      </c>
      <c r="L40" s="1">
        <v>20400</v>
      </c>
      <c r="M40" s="2">
        <v>1500</v>
      </c>
      <c r="N40" s="1">
        <v>0.15</v>
      </c>
      <c r="O40" s="1" t="s">
        <v>20</v>
      </c>
      <c r="P40" s="2" t="s">
        <v>20</v>
      </c>
      <c r="Q40" s="1" t="s">
        <v>20</v>
      </c>
      <c r="R40" s="1" t="s">
        <v>20</v>
      </c>
      <c r="S40" s="1" t="s">
        <v>20</v>
      </c>
      <c r="T40" s="2" t="s">
        <v>20</v>
      </c>
      <c r="U40" s="2" t="s">
        <v>20</v>
      </c>
      <c r="V40" s="2" t="s">
        <v>20</v>
      </c>
      <c r="W40" s="1" t="s">
        <v>19</v>
      </c>
    </row>
    <row r="41" spans="1:23">
      <c r="A41" s="1" t="s">
        <v>19</v>
      </c>
      <c r="B41" s="2">
        <v>925</v>
      </c>
      <c r="C41" s="1" t="s">
        <v>20</v>
      </c>
      <c r="D41" s="1" t="s">
        <v>20</v>
      </c>
      <c r="E41" s="1" t="s">
        <v>20</v>
      </c>
      <c r="F41" s="3" t="s">
        <v>20</v>
      </c>
      <c r="G41" s="1" t="s">
        <v>20</v>
      </c>
      <c r="H41" s="2">
        <v>25</v>
      </c>
      <c r="I41" s="3">
        <v>9210.5499999999993</v>
      </c>
      <c r="J41" s="3">
        <v>9315.65</v>
      </c>
      <c r="K41" s="2">
        <v>25</v>
      </c>
      <c r="L41" s="1">
        <v>20500</v>
      </c>
      <c r="M41" s="2">
        <v>5000</v>
      </c>
      <c r="N41" s="1">
        <v>0.65</v>
      </c>
      <c r="O41" s="1">
        <v>0.7</v>
      </c>
      <c r="P41" s="2">
        <v>2250</v>
      </c>
      <c r="Q41" s="1">
        <v>-0.85</v>
      </c>
      <c r="R41" s="1">
        <v>0.7</v>
      </c>
      <c r="S41" s="1">
        <v>169.58</v>
      </c>
      <c r="T41" s="2">
        <v>844</v>
      </c>
      <c r="U41" s="2">
        <v>125</v>
      </c>
      <c r="V41" s="2">
        <v>86475</v>
      </c>
      <c r="W41" s="1" t="s">
        <v>19</v>
      </c>
    </row>
    <row r="42" spans="1:23">
      <c r="A42" s="1" t="s">
        <v>19</v>
      </c>
      <c r="B42" s="2">
        <v>25</v>
      </c>
      <c r="C42" s="1" t="s">
        <v>20</v>
      </c>
      <c r="D42" s="1" t="s">
        <v>20</v>
      </c>
      <c r="E42" s="1" t="s">
        <v>20</v>
      </c>
      <c r="F42" s="3" t="s">
        <v>20</v>
      </c>
      <c r="G42" s="1" t="s">
        <v>20</v>
      </c>
      <c r="H42" s="2">
        <v>25</v>
      </c>
      <c r="I42" s="3">
        <v>8840.9</v>
      </c>
      <c r="J42" s="3">
        <v>9852.6</v>
      </c>
      <c r="K42" s="2">
        <v>25</v>
      </c>
      <c r="L42" s="1">
        <v>20600</v>
      </c>
      <c r="M42" s="2">
        <v>1000</v>
      </c>
      <c r="N42" s="1">
        <v>0.3</v>
      </c>
      <c r="O42" s="1">
        <v>2.8</v>
      </c>
      <c r="P42" s="2">
        <v>200</v>
      </c>
      <c r="Q42" s="1" t="s">
        <v>20</v>
      </c>
      <c r="R42" s="1" t="s">
        <v>20</v>
      </c>
      <c r="S42" s="1" t="s">
        <v>20</v>
      </c>
      <c r="T42" s="2" t="s">
        <v>20</v>
      </c>
      <c r="U42" s="2" t="s">
        <v>20</v>
      </c>
      <c r="V42" s="2">
        <v>175</v>
      </c>
      <c r="W42" s="1" t="s">
        <v>19</v>
      </c>
    </row>
    <row r="43" spans="1:23">
      <c r="A43" s="1" t="s">
        <v>19</v>
      </c>
      <c r="B43" s="2" t="s">
        <v>20</v>
      </c>
      <c r="C43" s="1" t="s">
        <v>20</v>
      </c>
      <c r="D43" s="1" t="s">
        <v>20</v>
      </c>
      <c r="E43" s="1" t="s">
        <v>20</v>
      </c>
      <c r="F43" s="3" t="s">
        <v>20</v>
      </c>
      <c r="G43" s="1" t="s">
        <v>20</v>
      </c>
      <c r="H43" s="2">
        <v>375</v>
      </c>
      <c r="I43" s="3">
        <v>8155.2</v>
      </c>
      <c r="J43" s="3">
        <v>9891.65</v>
      </c>
      <c r="K43" s="2">
        <v>2400</v>
      </c>
      <c r="L43" s="1">
        <v>20700</v>
      </c>
      <c r="M43" s="2">
        <v>1500</v>
      </c>
      <c r="N43" s="1">
        <v>0.15</v>
      </c>
      <c r="O43" s="1" t="s">
        <v>20</v>
      </c>
      <c r="P43" s="2" t="s">
        <v>20</v>
      </c>
      <c r="Q43" s="1" t="s">
        <v>20</v>
      </c>
      <c r="R43" s="1" t="s">
        <v>20</v>
      </c>
      <c r="S43" s="1" t="s">
        <v>20</v>
      </c>
      <c r="T43" s="2" t="s">
        <v>20</v>
      </c>
      <c r="U43" s="2" t="s">
        <v>20</v>
      </c>
      <c r="V43" s="2" t="s">
        <v>20</v>
      </c>
      <c r="W43" s="1" t="s">
        <v>19</v>
      </c>
    </row>
    <row r="44" spans="1:23">
      <c r="A44" s="1" t="s">
        <v>19</v>
      </c>
      <c r="B44" s="2" t="s">
        <v>20</v>
      </c>
      <c r="C44" s="1" t="s">
        <v>20</v>
      </c>
      <c r="D44" s="1" t="s">
        <v>20</v>
      </c>
      <c r="E44" s="1" t="s">
        <v>20</v>
      </c>
      <c r="F44" s="3" t="s">
        <v>20</v>
      </c>
      <c r="G44" s="1" t="s">
        <v>20</v>
      </c>
      <c r="H44" s="2">
        <v>2400</v>
      </c>
      <c r="I44" s="3">
        <v>8063.2</v>
      </c>
      <c r="J44" s="3">
        <v>9781.4</v>
      </c>
      <c r="K44" s="2">
        <v>2400</v>
      </c>
      <c r="L44" s="1">
        <v>20800</v>
      </c>
      <c r="M44" s="2">
        <v>1500</v>
      </c>
      <c r="N44" s="1">
        <v>0.15</v>
      </c>
      <c r="O44" s="1" t="s">
        <v>20</v>
      </c>
      <c r="P44" s="2" t="s">
        <v>20</v>
      </c>
      <c r="Q44" s="1" t="s">
        <v>20</v>
      </c>
      <c r="R44" s="1" t="s">
        <v>20</v>
      </c>
      <c r="S44" s="1" t="s">
        <v>20</v>
      </c>
      <c r="T44" s="2" t="s">
        <v>20</v>
      </c>
      <c r="U44" s="2" t="s">
        <v>20</v>
      </c>
      <c r="V44" s="2">
        <v>25</v>
      </c>
      <c r="W44" s="1" t="s">
        <v>19</v>
      </c>
    </row>
    <row r="45" spans="1:23">
      <c r="A45" s="1" t="s">
        <v>19</v>
      </c>
      <c r="B45" s="2" t="s">
        <v>20</v>
      </c>
      <c r="C45" s="1" t="s">
        <v>20</v>
      </c>
      <c r="D45" s="1" t="s">
        <v>20</v>
      </c>
      <c r="E45" s="1" t="s">
        <v>20</v>
      </c>
      <c r="F45" s="3" t="s">
        <v>20</v>
      </c>
      <c r="G45" s="1" t="s">
        <v>20</v>
      </c>
      <c r="H45" s="2">
        <v>2400</v>
      </c>
      <c r="I45" s="3">
        <v>7949.4</v>
      </c>
      <c r="J45" s="3">
        <v>9675.2999999999993</v>
      </c>
      <c r="K45" s="2">
        <v>2400</v>
      </c>
      <c r="L45" s="1">
        <v>20900</v>
      </c>
      <c r="M45" s="2">
        <v>2475</v>
      </c>
      <c r="N45" s="1">
        <v>0.1</v>
      </c>
      <c r="O45" s="1" t="s">
        <v>20</v>
      </c>
      <c r="P45" s="2" t="s">
        <v>20</v>
      </c>
      <c r="Q45" s="1" t="s">
        <v>20</v>
      </c>
      <c r="R45" s="1" t="s">
        <v>20</v>
      </c>
      <c r="S45" s="1" t="s">
        <v>20</v>
      </c>
      <c r="T45" s="2" t="s">
        <v>20</v>
      </c>
      <c r="U45" s="2" t="s">
        <v>20</v>
      </c>
      <c r="V45" s="2">
        <v>50</v>
      </c>
      <c r="W45" s="1" t="s">
        <v>19</v>
      </c>
    </row>
    <row r="46" spans="1:23">
      <c r="A46" s="1" t="s">
        <v>19</v>
      </c>
      <c r="B46" s="2">
        <v>7125</v>
      </c>
      <c r="C46" s="1">
        <v>-25</v>
      </c>
      <c r="D46" s="1">
        <v>42</v>
      </c>
      <c r="E46" s="1" t="s">
        <v>20</v>
      </c>
      <c r="F46" s="3">
        <v>8731</v>
      </c>
      <c r="G46" s="3">
        <v>731</v>
      </c>
      <c r="H46" s="2">
        <v>100</v>
      </c>
      <c r="I46" s="3">
        <v>8742.2999999999993</v>
      </c>
      <c r="J46" s="3">
        <v>8803.7000000000007</v>
      </c>
      <c r="K46" s="2">
        <v>100</v>
      </c>
      <c r="L46" s="1">
        <v>21000</v>
      </c>
      <c r="M46" s="2">
        <v>3825</v>
      </c>
      <c r="N46" s="1">
        <v>0.7</v>
      </c>
      <c r="O46" s="1">
        <v>0.75</v>
      </c>
      <c r="P46" s="2">
        <v>100</v>
      </c>
      <c r="Q46" s="1">
        <v>-0.85</v>
      </c>
      <c r="R46" s="1">
        <v>0.7</v>
      </c>
      <c r="S46" s="1">
        <v>158.66999999999999</v>
      </c>
      <c r="T46" s="2">
        <v>1810</v>
      </c>
      <c r="U46" s="2">
        <v>-900</v>
      </c>
      <c r="V46" s="2">
        <v>151725</v>
      </c>
      <c r="W46" s="1" t="s">
        <v>19</v>
      </c>
    </row>
    <row r="47" spans="1:23">
      <c r="A47" s="1" t="s">
        <v>19</v>
      </c>
      <c r="B47" s="2">
        <v>50</v>
      </c>
      <c r="C47" s="1" t="s">
        <v>20</v>
      </c>
      <c r="D47" s="1" t="s">
        <v>20</v>
      </c>
      <c r="E47" s="1" t="s">
        <v>20</v>
      </c>
      <c r="F47" s="3" t="s">
        <v>20</v>
      </c>
      <c r="G47" s="1" t="s">
        <v>20</v>
      </c>
      <c r="H47" s="2">
        <v>475</v>
      </c>
      <c r="I47" s="3">
        <v>8370.75</v>
      </c>
      <c r="J47" s="3">
        <v>8822.5</v>
      </c>
      <c r="K47" s="2">
        <v>250</v>
      </c>
      <c r="L47" s="1">
        <v>21100</v>
      </c>
      <c r="M47" s="2">
        <v>25</v>
      </c>
      <c r="N47" s="1">
        <v>0.8</v>
      </c>
      <c r="O47" s="1">
        <v>1.35</v>
      </c>
      <c r="P47" s="2">
        <v>50</v>
      </c>
      <c r="Q47" s="1">
        <v>-0.65</v>
      </c>
      <c r="R47" s="1">
        <v>1</v>
      </c>
      <c r="S47" s="1" t="s">
        <v>20</v>
      </c>
      <c r="T47" s="2">
        <v>2</v>
      </c>
      <c r="U47" s="2" t="s">
        <v>20</v>
      </c>
      <c r="V47" s="2">
        <v>425</v>
      </c>
      <c r="W47" s="1" t="s">
        <v>19</v>
      </c>
    </row>
    <row r="48" spans="1:23">
      <c r="A48" s="1" t="s">
        <v>19</v>
      </c>
      <c r="B48" s="2" t="s">
        <v>20</v>
      </c>
      <c r="C48" s="1" t="s">
        <v>20</v>
      </c>
      <c r="D48" s="1" t="s">
        <v>20</v>
      </c>
      <c r="E48" s="1" t="s">
        <v>20</v>
      </c>
      <c r="F48" s="3" t="s">
        <v>20</v>
      </c>
      <c r="G48" s="1" t="s">
        <v>20</v>
      </c>
      <c r="H48" s="2">
        <v>475</v>
      </c>
      <c r="I48" s="3">
        <v>8264.35</v>
      </c>
      <c r="J48" s="3">
        <v>8904.2000000000007</v>
      </c>
      <c r="K48" s="2">
        <v>25</v>
      </c>
      <c r="L48" s="1">
        <v>21200</v>
      </c>
      <c r="M48" s="2">
        <v>1500</v>
      </c>
      <c r="N48" s="1">
        <v>0.15</v>
      </c>
      <c r="O48" s="1" t="s">
        <v>20</v>
      </c>
      <c r="P48" s="2" t="s">
        <v>20</v>
      </c>
      <c r="Q48" s="1" t="s">
        <v>20</v>
      </c>
      <c r="R48" s="1" t="s">
        <v>20</v>
      </c>
      <c r="S48" s="1" t="s">
        <v>20</v>
      </c>
      <c r="T48" s="2" t="s">
        <v>20</v>
      </c>
      <c r="U48" s="2" t="s">
        <v>20</v>
      </c>
      <c r="V48" s="2" t="s">
        <v>20</v>
      </c>
      <c r="W48" s="1" t="s">
        <v>19</v>
      </c>
    </row>
    <row r="49" spans="1:23">
      <c r="A49" s="1" t="s">
        <v>19</v>
      </c>
      <c r="B49" s="2">
        <v>25</v>
      </c>
      <c r="C49" s="1" t="s">
        <v>20</v>
      </c>
      <c r="D49" s="1" t="s">
        <v>20</v>
      </c>
      <c r="E49" s="1" t="s">
        <v>20</v>
      </c>
      <c r="F49" s="3" t="s">
        <v>20</v>
      </c>
      <c r="G49" s="1" t="s">
        <v>20</v>
      </c>
      <c r="H49" s="2">
        <v>25</v>
      </c>
      <c r="I49" s="3">
        <v>8302.2999999999993</v>
      </c>
      <c r="J49" s="3">
        <v>8809.2999999999993</v>
      </c>
      <c r="K49" s="2">
        <v>25</v>
      </c>
      <c r="L49" s="1">
        <v>21300</v>
      </c>
      <c r="M49" s="2">
        <v>250</v>
      </c>
      <c r="N49" s="1">
        <v>1.5</v>
      </c>
      <c r="O49" s="1">
        <v>3.6</v>
      </c>
      <c r="P49" s="2">
        <v>50</v>
      </c>
      <c r="Q49" s="3">
        <v>0.65</v>
      </c>
      <c r="R49" s="1">
        <v>2.25</v>
      </c>
      <c r="S49" s="1" t="s">
        <v>20</v>
      </c>
      <c r="T49" s="2">
        <v>6</v>
      </c>
      <c r="U49" s="2" t="s">
        <v>20</v>
      </c>
      <c r="V49" s="2">
        <v>875</v>
      </c>
      <c r="W49" s="1" t="s">
        <v>19</v>
      </c>
    </row>
    <row r="50" spans="1:23">
      <c r="A50" s="1" t="s">
        <v>19</v>
      </c>
      <c r="B50" s="2" t="s">
        <v>20</v>
      </c>
      <c r="C50" s="1" t="s">
        <v>20</v>
      </c>
      <c r="D50" s="1" t="s">
        <v>20</v>
      </c>
      <c r="E50" s="1" t="s">
        <v>20</v>
      </c>
      <c r="F50" s="3" t="s">
        <v>20</v>
      </c>
      <c r="G50" s="1" t="s">
        <v>20</v>
      </c>
      <c r="H50" s="2">
        <v>475</v>
      </c>
      <c r="I50" s="3">
        <v>8066.9</v>
      </c>
      <c r="J50" s="3">
        <v>8692.5</v>
      </c>
      <c r="K50" s="2">
        <v>25</v>
      </c>
      <c r="L50" s="1">
        <v>21400</v>
      </c>
      <c r="M50" s="2">
        <v>1500</v>
      </c>
      <c r="N50" s="1">
        <v>0.15</v>
      </c>
      <c r="O50" s="1" t="s">
        <v>20</v>
      </c>
      <c r="P50" s="2" t="s">
        <v>20</v>
      </c>
      <c r="Q50" s="3" t="s">
        <v>20</v>
      </c>
      <c r="R50" s="1" t="s">
        <v>20</v>
      </c>
      <c r="S50" s="1" t="s">
        <v>20</v>
      </c>
      <c r="T50" s="2" t="s">
        <v>20</v>
      </c>
      <c r="U50" s="2" t="s">
        <v>20</v>
      </c>
      <c r="V50" s="2" t="s">
        <v>20</v>
      </c>
      <c r="W50" s="1" t="s">
        <v>19</v>
      </c>
    </row>
    <row r="51" spans="1:23">
      <c r="A51" s="1" t="s">
        <v>19</v>
      </c>
      <c r="B51" s="2">
        <v>6600</v>
      </c>
      <c r="C51" s="1">
        <v>-25</v>
      </c>
      <c r="D51" s="1">
        <v>1</v>
      </c>
      <c r="E51" s="1" t="s">
        <v>20</v>
      </c>
      <c r="F51" s="3">
        <v>8000</v>
      </c>
      <c r="G51" s="1">
        <v>494</v>
      </c>
      <c r="H51" s="2">
        <v>100</v>
      </c>
      <c r="I51" s="3">
        <v>8230.2999999999993</v>
      </c>
      <c r="J51" s="3">
        <v>8325.9500000000007</v>
      </c>
      <c r="K51" s="2">
        <v>100</v>
      </c>
      <c r="L51" s="1">
        <v>21500</v>
      </c>
      <c r="M51" s="2">
        <v>2475</v>
      </c>
      <c r="N51" s="1">
        <v>0.7</v>
      </c>
      <c r="O51" s="1">
        <v>0.8</v>
      </c>
      <c r="P51" s="2">
        <v>775</v>
      </c>
      <c r="Q51" s="1">
        <v>-0.85</v>
      </c>
      <c r="R51" s="1">
        <v>0.75</v>
      </c>
      <c r="S51" s="1">
        <v>147.61000000000001</v>
      </c>
      <c r="T51" s="2">
        <v>1148</v>
      </c>
      <c r="U51" s="2">
        <v>900</v>
      </c>
      <c r="V51" s="2">
        <v>87675</v>
      </c>
      <c r="W51" s="1" t="s">
        <v>19</v>
      </c>
    </row>
    <row r="52" spans="1:23">
      <c r="A52" s="1" t="s">
        <v>19</v>
      </c>
      <c r="B52" s="2">
        <v>25</v>
      </c>
      <c r="C52" s="1" t="s">
        <v>20</v>
      </c>
      <c r="D52" s="1" t="s">
        <v>20</v>
      </c>
      <c r="E52" s="1" t="s">
        <v>20</v>
      </c>
      <c r="F52" s="3" t="s">
        <v>20</v>
      </c>
      <c r="G52" s="1" t="s">
        <v>20</v>
      </c>
      <c r="H52" s="2">
        <v>475</v>
      </c>
      <c r="I52" s="3">
        <v>7867.55</v>
      </c>
      <c r="J52" s="3">
        <v>8477.25</v>
      </c>
      <c r="K52" s="2">
        <v>25</v>
      </c>
      <c r="L52" s="1">
        <v>21600</v>
      </c>
      <c r="M52" s="2">
        <v>200</v>
      </c>
      <c r="N52" s="1">
        <v>1</v>
      </c>
      <c r="O52" s="1">
        <v>2.5</v>
      </c>
      <c r="P52" s="2">
        <v>50</v>
      </c>
      <c r="Q52" s="1">
        <v>-0.05</v>
      </c>
      <c r="R52" s="1">
        <v>2.4500000000000002</v>
      </c>
      <c r="S52" s="1" t="s">
        <v>20</v>
      </c>
      <c r="T52" s="2">
        <v>4</v>
      </c>
      <c r="U52" s="2">
        <v>50</v>
      </c>
      <c r="V52" s="2">
        <v>1400</v>
      </c>
      <c r="W52" s="1" t="s">
        <v>19</v>
      </c>
    </row>
    <row r="53" spans="1:23">
      <c r="A53" s="1" t="s">
        <v>19</v>
      </c>
      <c r="B53" s="2" t="s">
        <v>20</v>
      </c>
      <c r="C53" s="1" t="s">
        <v>20</v>
      </c>
      <c r="D53" s="1" t="s">
        <v>20</v>
      </c>
      <c r="E53" s="1" t="s">
        <v>20</v>
      </c>
      <c r="F53" s="3" t="s">
        <v>20</v>
      </c>
      <c r="G53" s="1" t="s">
        <v>20</v>
      </c>
      <c r="H53" s="2">
        <v>475</v>
      </c>
      <c r="I53" s="3">
        <v>7764.85</v>
      </c>
      <c r="J53" s="3">
        <v>8385.15</v>
      </c>
      <c r="K53" s="2">
        <v>25</v>
      </c>
      <c r="L53" s="1">
        <v>21700</v>
      </c>
      <c r="M53" s="2">
        <v>1500</v>
      </c>
      <c r="N53" s="1">
        <v>0.15</v>
      </c>
      <c r="O53" s="1" t="s">
        <v>20</v>
      </c>
      <c r="P53" s="2" t="s">
        <v>20</v>
      </c>
      <c r="Q53" s="1" t="s">
        <v>20</v>
      </c>
      <c r="R53" s="1" t="s">
        <v>20</v>
      </c>
      <c r="S53" s="1" t="s">
        <v>20</v>
      </c>
      <c r="T53" s="2" t="s">
        <v>20</v>
      </c>
      <c r="U53" s="2" t="s">
        <v>20</v>
      </c>
      <c r="V53" s="2" t="s">
        <v>20</v>
      </c>
      <c r="W53" s="1" t="s">
        <v>19</v>
      </c>
    </row>
    <row r="54" spans="1:23">
      <c r="A54" s="1" t="s">
        <v>19</v>
      </c>
      <c r="B54" s="2">
        <v>50</v>
      </c>
      <c r="C54" s="1" t="s">
        <v>20</v>
      </c>
      <c r="D54" s="1" t="s">
        <v>20</v>
      </c>
      <c r="E54" s="1" t="s">
        <v>20</v>
      </c>
      <c r="F54" s="3" t="s">
        <v>20</v>
      </c>
      <c r="G54" s="1" t="s">
        <v>20</v>
      </c>
      <c r="H54" s="2">
        <v>25</v>
      </c>
      <c r="I54" s="3">
        <v>7680.9</v>
      </c>
      <c r="J54" s="3">
        <v>8163.2</v>
      </c>
      <c r="K54" s="2">
        <v>25</v>
      </c>
      <c r="L54" s="1">
        <v>21800</v>
      </c>
      <c r="M54" s="2">
        <v>1000</v>
      </c>
      <c r="N54" s="1">
        <v>0.15</v>
      </c>
      <c r="O54" s="1">
        <v>3.15</v>
      </c>
      <c r="P54" s="2">
        <v>1000</v>
      </c>
      <c r="Q54" s="1" t="s">
        <v>20</v>
      </c>
      <c r="R54" s="1" t="s">
        <v>20</v>
      </c>
      <c r="S54" s="1" t="s">
        <v>20</v>
      </c>
      <c r="T54" s="2" t="s">
        <v>20</v>
      </c>
      <c r="U54" s="2" t="s">
        <v>20</v>
      </c>
      <c r="V54" s="2">
        <v>94500</v>
      </c>
      <c r="W54" s="1" t="s">
        <v>19</v>
      </c>
    </row>
    <row r="55" spans="1:23">
      <c r="A55" s="1" t="s">
        <v>19</v>
      </c>
      <c r="B55" s="2">
        <v>100</v>
      </c>
      <c r="C55" s="1" t="s">
        <v>20</v>
      </c>
      <c r="D55" s="1" t="s">
        <v>20</v>
      </c>
      <c r="E55" s="1" t="s">
        <v>20</v>
      </c>
      <c r="F55" s="3" t="s">
        <v>20</v>
      </c>
      <c r="G55" s="1" t="s">
        <v>20</v>
      </c>
      <c r="H55" s="2">
        <v>25</v>
      </c>
      <c r="I55" s="3">
        <v>7576.8</v>
      </c>
      <c r="J55" s="3">
        <v>8039.45</v>
      </c>
      <c r="K55" s="2">
        <v>25</v>
      </c>
      <c r="L55" s="1">
        <v>21900</v>
      </c>
      <c r="M55" s="2">
        <v>2475</v>
      </c>
      <c r="N55" s="1">
        <v>0.1</v>
      </c>
      <c r="O55" s="1">
        <v>3</v>
      </c>
      <c r="P55" s="2">
        <v>200</v>
      </c>
      <c r="Q55" s="1">
        <v>-0.7</v>
      </c>
      <c r="R55" s="1">
        <v>0.85</v>
      </c>
      <c r="S55" s="1" t="s">
        <v>20</v>
      </c>
      <c r="T55" s="2">
        <v>2</v>
      </c>
      <c r="U55" s="2" t="s">
        <v>20</v>
      </c>
      <c r="V55" s="2">
        <v>525</v>
      </c>
      <c r="W55" s="1" t="s">
        <v>19</v>
      </c>
    </row>
    <row r="56" spans="1:23">
      <c r="A56" s="1" t="s">
        <v>19</v>
      </c>
      <c r="B56" s="2">
        <v>18625</v>
      </c>
      <c r="C56" s="1">
        <v>-200</v>
      </c>
      <c r="D56" s="1">
        <v>22</v>
      </c>
      <c r="E56" s="1" t="s">
        <v>20</v>
      </c>
      <c r="F56" s="3">
        <v>7750</v>
      </c>
      <c r="G56" s="3">
        <v>760.6</v>
      </c>
      <c r="H56" s="2">
        <v>125</v>
      </c>
      <c r="I56" s="3">
        <v>7710.7</v>
      </c>
      <c r="J56" s="3">
        <v>7824.7</v>
      </c>
      <c r="K56" s="2">
        <v>100</v>
      </c>
      <c r="L56" s="1">
        <v>22000</v>
      </c>
      <c r="M56" s="2">
        <v>7700</v>
      </c>
      <c r="N56" s="1">
        <v>0.7</v>
      </c>
      <c r="O56" s="1">
        <v>0.8</v>
      </c>
      <c r="P56" s="2">
        <v>850</v>
      </c>
      <c r="Q56" s="1">
        <v>-1</v>
      </c>
      <c r="R56" s="1">
        <v>0.7</v>
      </c>
      <c r="S56" s="1">
        <v>138.68</v>
      </c>
      <c r="T56" s="2">
        <v>2763</v>
      </c>
      <c r="U56" s="2">
        <v>-1125</v>
      </c>
      <c r="V56" s="2">
        <v>134700</v>
      </c>
      <c r="W56" s="1" t="s">
        <v>19</v>
      </c>
    </row>
    <row r="57" spans="1:23">
      <c r="A57" s="1" t="s">
        <v>19</v>
      </c>
      <c r="B57" s="2">
        <v>100</v>
      </c>
      <c r="C57" s="1" t="s">
        <v>20</v>
      </c>
      <c r="D57" s="1" t="s">
        <v>20</v>
      </c>
      <c r="E57" s="1" t="s">
        <v>20</v>
      </c>
      <c r="F57" s="3" t="s">
        <v>20</v>
      </c>
      <c r="G57" s="1" t="s">
        <v>20</v>
      </c>
      <c r="H57" s="2">
        <v>475</v>
      </c>
      <c r="I57" s="3">
        <v>7409.85</v>
      </c>
      <c r="J57" s="3">
        <v>7856.1</v>
      </c>
      <c r="K57" s="2">
        <v>25</v>
      </c>
      <c r="L57" s="1">
        <v>22100</v>
      </c>
      <c r="M57" s="2">
        <v>1500</v>
      </c>
      <c r="N57" s="1">
        <v>0.7</v>
      </c>
      <c r="O57" s="1">
        <v>3.7</v>
      </c>
      <c r="P57" s="2">
        <v>1000</v>
      </c>
      <c r="Q57" s="1">
        <v>-2</v>
      </c>
      <c r="R57" s="1">
        <v>0.95</v>
      </c>
      <c r="S57" s="1" t="s">
        <v>20</v>
      </c>
      <c r="T57" s="2">
        <v>19</v>
      </c>
      <c r="U57" s="2">
        <v>100</v>
      </c>
      <c r="V57" s="2">
        <v>675</v>
      </c>
      <c r="W57" s="1" t="s">
        <v>19</v>
      </c>
    </row>
    <row r="58" spans="1:23">
      <c r="A58" s="1" t="s">
        <v>19</v>
      </c>
      <c r="B58" s="2">
        <v>375</v>
      </c>
      <c r="C58" s="1" t="s">
        <v>20</v>
      </c>
      <c r="D58" s="1" t="s">
        <v>20</v>
      </c>
      <c r="E58" s="1" t="s">
        <v>20</v>
      </c>
      <c r="F58" s="3" t="s">
        <v>20</v>
      </c>
      <c r="G58" s="1" t="s">
        <v>20</v>
      </c>
      <c r="H58" s="2">
        <v>25</v>
      </c>
      <c r="I58" s="3">
        <v>7414.15</v>
      </c>
      <c r="J58" s="3">
        <v>7715.6</v>
      </c>
      <c r="K58" s="2">
        <v>25</v>
      </c>
      <c r="L58" s="1">
        <v>22200</v>
      </c>
      <c r="M58" s="2">
        <v>1500</v>
      </c>
      <c r="N58" s="1">
        <v>1.1000000000000001</v>
      </c>
      <c r="O58" s="1">
        <v>1.4</v>
      </c>
      <c r="P58" s="2">
        <v>50</v>
      </c>
      <c r="Q58" s="1">
        <v>-0.55000000000000004</v>
      </c>
      <c r="R58" s="1">
        <v>1.1499999999999999</v>
      </c>
      <c r="S58" s="1" t="s">
        <v>20</v>
      </c>
      <c r="T58" s="2">
        <v>4</v>
      </c>
      <c r="U58" s="2" t="s">
        <v>20</v>
      </c>
      <c r="V58" s="2">
        <v>2800</v>
      </c>
      <c r="W58" s="1" t="s">
        <v>19</v>
      </c>
    </row>
    <row r="59" spans="1:23">
      <c r="A59" s="1" t="s">
        <v>19</v>
      </c>
      <c r="B59" s="2">
        <v>100</v>
      </c>
      <c r="C59" s="1" t="s">
        <v>20</v>
      </c>
      <c r="D59" s="1" t="s">
        <v>20</v>
      </c>
      <c r="E59" s="1" t="s">
        <v>20</v>
      </c>
      <c r="F59" s="3" t="s">
        <v>20</v>
      </c>
      <c r="G59" s="1" t="s">
        <v>20</v>
      </c>
      <c r="H59" s="2">
        <v>25</v>
      </c>
      <c r="I59" s="3">
        <v>7187.1</v>
      </c>
      <c r="J59" s="3">
        <v>7636.95</v>
      </c>
      <c r="K59" s="2">
        <v>25</v>
      </c>
      <c r="L59" s="1">
        <v>22300</v>
      </c>
      <c r="M59" s="2">
        <v>650</v>
      </c>
      <c r="N59" s="1">
        <v>1.65</v>
      </c>
      <c r="O59" s="1">
        <v>3</v>
      </c>
      <c r="P59" s="2">
        <v>500</v>
      </c>
      <c r="Q59" s="3" t="s">
        <v>20</v>
      </c>
      <c r="R59" s="1">
        <v>1.65</v>
      </c>
      <c r="S59" s="1" t="s">
        <v>20</v>
      </c>
      <c r="T59" s="2">
        <v>9</v>
      </c>
      <c r="U59" s="2">
        <v>200</v>
      </c>
      <c r="V59" s="2">
        <v>1850</v>
      </c>
      <c r="W59" s="1" t="s">
        <v>19</v>
      </c>
    </row>
    <row r="60" spans="1:23">
      <c r="A60" s="1" t="s">
        <v>19</v>
      </c>
      <c r="B60" s="2">
        <v>125</v>
      </c>
      <c r="C60" s="1" t="s">
        <v>20</v>
      </c>
      <c r="D60" s="1" t="s">
        <v>20</v>
      </c>
      <c r="E60" s="1" t="s">
        <v>20</v>
      </c>
      <c r="F60" s="3" t="s">
        <v>20</v>
      </c>
      <c r="G60" s="1" t="s">
        <v>20</v>
      </c>
      <c r="H60" s="2">
        <v>25</v>
      </c>
      <c r="I60" s="3">
        <v>7214.2</v>
      </c>
      <c r="J60" s="3">
        <v>7529.5</v>
      </c>
      <c r="K60" s="2">
        <v>25</v>
      </c>
      <c r="L60" s="1">
        <v>22400</v>
      </c>
      <c r="M60" s="2">
        <v>400</v>
      </c>
      <c r="N60" s="1">
        <v>1.8</v>
      </c>
      <c r="O60" s="1">
        <v>3.4</v>
      </c>
      <c r="P60" s="2">
        <v>2000</v>
      </c>
      <c r="Q60" s="1">
        <v>-0.4</v>
      </c>
      <c r="R60" s="1">
        <v>1.55</v>
      </c>
      <c r="S60" s="1" t="s">
        <v>20</v>
      </c>
      <c r="T60" s="2">
        <v>75</v>
      </c>
      <c r="U60" s="2">
        <v>375</v>
      </c>
      <c r="V60" s="2">
        <v>1350</v>
      </c>
      <c r="W60" s="1" t="s">
        <v>19</v>
      </c>
    </row>
    <row r="61" spans="1:23">
      <c r="A61" s="1" t="s">
        <v>19</v>
      </c>
      <c r="B61" s="2">
        <v>7275</v>
      </c>
      <c r="C61" s="1">
        <v>-100</v>
      </c>
      <c r="D61" s="1">
        <v>7</v>
      </c>
      <c r="E61" s="1">
        <v>164.44</v>
      </c>
      <c r="F61" s="3">
        <v>7006.15</v>
      </c>
      <c r="G61" s="3">
        <v>511.7</v>
      </c>
      <c r="H61" s="2">
        <v>125</v>
      </c>
      <c r="I61" s="3">
        <v>7172.55</v>
      </c>
      <c r="J61" s="3">
        <v>7303.95</v>
      </c>
      <c r="K61" s="2">
        <v>100</v>
      </c>
      <c r="L61" s="1">
        <v>22500</v>
      </c>
      <c r="M61" s="2">
        <v>25</v>
      </c>
      <c r="N61" s="1">
        <v>1.05</v>
      </c>
      <c r="O61" s="1">
        <v>1.35</v>
      </c>
      <c r="P61" s="2">
        <v>100</v>
      </c>
      <c r="Q61" s="1">
        <v>-0.6</v>
      </c>
      <c r="R61" s="1">
        <v>1.35</v>
      </c>
      <c r="S61" s="1">
        <v>123.69</v>
      </c>
      <c r="T61" s="2">
        <v>718</v>
      </c>
      <c r="U61" s="2">
        <v>3050</v>
      </c>
      <c r="V61" s="2">
        <v>79500</v>
      </c>
      <c r="W61" s="1" t="s">
        <v>19</v>
      </c>
    </row>
    <row r="62" spans="1:23">
      <c r="A62" s="1" t="s">
        <v>19</v>
      </c>
      <c r="B62" s="2">
        <v>100</v>
      </c>
      <c r="C62" s="1" t="s">
        <v>20</v>
      </c>
      <c r="D62" s="1" t="s">
        <v>20</v>
      </c>
      <c r="E62" s="1" t="s">
        <v>20</v>
      </c>
      <c r="F62" s="3" t="s">
        <v>20</v>
      </c>
      <c r="G62" s="1" t="s">
        <v>20</v>
      </c>
      <c r="H62" s="2">
        <v>25</v>
      </c>
      <c r="I62" s="3">
        <v>6896</v>
      </c>
      <c r="J62" s="3">
        <v>7335.2</v>
      </c>
      <c r="K62" s="2">
        <v>25</v>
      </c>
      <c r="L62" s="1">
        <v>22600</v>
      </c>
      <c r="M62" s="2">
        <v>1500</v>
      </c>
      <c r="N62" s="1">
        <v>0.75</v>
      </c>
      <c r="O62" s="1">
        <v>3</v>
      </c>
      <c r="P62" s="2">
        <v>75</v>
      </c>
      <c r="Q62" s="1">
        <v>-1.55</v>
      </c>
      <c r="R62" s="1">
        <v>0.9</v>
      </c>
      <c r="S62" s="1">
        <v>121.79</v>
      </c>
      <c r="T62" s="2">
        <v>32</v>
      </c>
      <c r="U62" s="2">
        <v>-50</v>
      </c>
      <c r="V62" s="2">
        <v>1075</v>
      </c>
      <c r="W62" s="1" t="s">
        <v>19</v>
      </c>
    </row>
    <row r="63" spans="1:23">
      <c r="A63" s="1" t="s">
        <v>19</v>
      </c>
      <c r="B63" s="2">
        <v>125</v>
      </c>
      <c r="C63" s="1" t="s">
        <v>20</v>
      </c>
      <c r="D63" s="1" t="s">
        <v>20</v>
      </c>
      <c r="E63" s="1" t="s">
        <v>20</v>
      </c>
      <c r="F63" s="3" t="s">
        <v>20</v>
      </c>
      <c r="G63" s="3" t="s">
        <v>20</v>
      </c>
      <c r="H63" s="2">
        <v>500</v>
      </c>
      <c r="I63" s="3">
        <v>6796.3</v>
      </c>
      <c r="J63" s="3">
        <v>7228.95</v>
      </c>
      <c r="K63" s="2">
        <v>25</v>
      </c>
      <c r="L63" s="1">
        <v>22700</v>
      </c>
      <c r="M63" s="2">
        <v>25</v>
      </c>
      <c r="N63" s="1">
        <v>1.35</v>
      </c>
      <c r="O63" s="1">
        <v>3.25</v>
      </c>
      <c r="P63" s="2">
        <v>25</v>
      </c>
      <c r="Q63" s="3">
        <v>-1.95</v>
      </c>
      <c r="R63" s="1">
        <v>1.35</v>
      </c>
      <c r="S63" s="1" t="s">
        <v>20</v>
      </c>
      <c r="T63" s="2">
        <v>254</v>
      </c>
      <c r="U63" s="2">
        <v>1800</v>
      </c>
      <c r="V63" s="2">
        <v>2475</v>
      </c>
      <c r="W63" s="1" t="s">
        <v>19</v>
      </c>
    </row>
    <row r="64" spans="1:23">
      <c r="A64" s="1" t="s">
        <v>19</v>
      </c>
      <c r="B64" s="2">
        <v>75</v>
      </c>
      <c r="C64" s="1" t="s">
        <v>20</v>
      </c>
      <c r="D64" s="1" t="s">
        <v>20</v>
      </c>
      <c r="E64" s="1" t="s">
        <v>20</v>
      </c>
      <c r="F64" s="3" t="s">
        <v>20</v>
      </c>
      <c r="G64" s="3" t="s">
        <v>20</v>
      </c>
      <c r="H64" s="2">
        <v>25</v>
      </c>
      <c r="I64" s="3">
        <v>6809.9</v>
      </c>
      <c r="J64" s="3">
        <v>7158.75</v>
      </c>
      <c r="K64" s="2">
        <v>25</v>
      </c>
      <c r="L64" s="1">
        <v>22800</v>
      </c>
      <c r="M64" s="2">
        <v>1500</v>
      </c>
      <c r="N64" s="1">
        <v>1.7</v>
      </c>
      <c r="O64" s="1">
        <v>3.05</v>
      </c>
      <c r="P64" s="2">
        <v>25</v>
      </c>
      <c r="Q64" s="1">
        <v>-0.95</v>
      </c>
      <c r="R64" s="1">
        <v>2.1</v>
      </c>
      <c r="S64" s="1">
        <v>131.53</v>
      </c>
      <c r="T64" s="2">
        <v>41</v>
      </c>
      <c r="U64" s="2">
        <v>-150</v>
      </c>
      <c r="V64" s="2">
        <v>1975</v>
      </c>
      <c r="W64" s="1" t="s">
        <v>19</v>
      </c>
    </row>
    <row r="65" spans="1:23">
      <c r="A65" s="1" t="s">
        <v>19</v>
      </c>
      <c r="B65" s="2">
        <v>50</v>
      </c>
      <c r="C65" s="1">
        <v>-25</v>
      </c>
      <c r="D65" s="1">
        <v>1</v>
      </c>
      <c r="E65" s="1" t="s">
        <v>20</v>
      </c>
      <c r="F65" s="3">
        <v>6494</v>
      </c>
      <c r="G65" s="3">
        <v>-377.15</v>
      </c>
      <c r="H65" s="2">
        <v>25</v>
      </c>
      <c r="I65" s="3">
        <v>6573.95</v>
      </c>
      <c r="J65" s="3">
        <v>7034.45</v>
      </c>
      <c r="K65" s="2">
        <v>250</v>
      </c>
      <c r="L65" s="1">
        <v>22900</v>
      </c>
      <c r="M65" s="2">
        <v>75</v>
      </c>
      <c r="N65" s="1">
        <v>1.1000000000000001</v>
      </c>
      <c r="O65" s="1">
        <v>2</v>
      </c>
      <c r="P65" s="2">
        <v>225</v>
      </c>
      <c r="Q65" s="1">
        <v>-1.1000000000000001</v>
      </c>
      <c r="R65" s="1">
        <v>1.1000000000000001</v>
      </c>
      <c r="S65" s="1" t="s">
        <v>20</v>
      </c>
      <c r="T65" s="2">
        <v>27</v>
      </c>
      <c r="U65" s="2">
        <v>325</v>
      </c>
      <c r="V65" s="2">
        <v>2075</v>
      </c>
      <c r="W65" s="1" t="s">
        <v>19</v>
      </c>
    </row>
    <row r="66" spans="1:23">
      <c r="A66" s="1" t="s">
        <v>19</v>
      </c>
      <c r="B66" s="2">
        <v>17500</v>
      </c>
      <c r="C66" s="2">
        <v>-1450</v>
      </c>
      <c r="D66" s="1">
        <v>136</v>
      </c>
      <c r="E66" s="1" t="s">
        <v>20</v>
      </c>
      <c r="F66" s="3">
        <v>6735.75</v>
      </c>
      <c r="G66" s="3">
        <v>737.75</v>
      </c>
      <c r="H66" s="2">
        <v>100</v>
      </c>
      <c r="I66" s="3">
        <v>6741.6</v>
      </c>
      <c r="J66" s="3">
        <v>6830.55</v>
      </c>
      <c r="K66" s="2">
        <v>100</v>
      </c>
      <c r="L66" s="1">
        <v>23000</v>
      </c>
      <c r="M66" s="2">
        <v>75</v>
      </c>
      <c r="N66" s="1">
        <v>0.95</v>
      </c>
      <c r="O66" s="1">
        <v>1.2</v>
      </c>
      <c r="P66" s="2">
        <v>25</v>
      </c>
      <c r="Q66" s="1">
        <v>-1.1000000000000001</v>
      </c>
      <c r="R66" s="1">
        <v>0.95</v>
      </c>
      <c r="S66" s="1">
        <v>118.39</v>
      </c>
      <c r="T66" s="2">
        <v>2716</v>
      </c>
      <c r="U66" s="2">
        <v>-10075</v>
      </c>
      <c r="V66" s="2">
        <v>132350</v>
      </c>
      <c r="W66" s="1" t="s">
        <v>19</v>
      </c>
    </row>
    <row r="67" spans="1:23">
      <c r="A67" s="1" t="s">
        <v>19</v>
      </c>
      <c r="B67" s="2">
        <v>325</v>
      </c>
      <c r="C67" s="1" t="s">
        <v>20</v>
      </c>
      <c r="D67" s="1" t="s">
        <v>20</v>
      </c>
      <c r="E67" s="1" t="s">
        <v>20</v>
      </c>
      <c r="F67" s="3" t="s">
        <v>20</v>
      </c>
      <c r="G67" s="3" t="s">
        <v>20</v>
      </c>
      <c r="H67" s="2">
        <v>25</v>
      </c>
      <c r="I67" s="3">
        <v>6404.9</v>
      </c>
      <c r="J67" s="3">
        <v>6828</v>
      </c>
      <c r="K67" s="2">
        <v>25</v>
      </c>
      <c r="L67" s="1">
        <v>23100</v>
      </c>
      <c r="M67" s="2">
        <v>975</v>
      </c>
      <c r="N67" s="1">
        <v>1.25</v>
      </c>
      <c r="O67" s="1">
        <v>2.25</v>
      </c>
      <c r="P67" s="2">
        <v>125</v>
      </c>
      <c r="Q67" s="1">
        <v>-1.2</v>
      </c>
      <c r="R67" s="1">
        <v>1.25</v>
      </c>
      <c r="S67" s="1" t="s">
        <v>20</v>
      </c>
      <c r="T67" s="2">
        <v>83</v>
      </c>
      <c r="U67" s="2">
        <v>1400</v>
      </c>
      <c r="V67" s="2">
        <v>20225</v>
      </c>
      <c r="W67" s="1" t="s">
        <v>19</v>
      </c>
    </row>
    <row r="68" spans="1:23">
      <c r="A68" s="1" t="s">
        <v>19</v>
      </c>
      <c r="B68" s="2">
        <v>275</v>
      </c>
      <c r="C68" s="1" t="s">
        <v>20</v>
      </c>
      <c r="D68" s="1" t="s">
        <v>20</v>
      </c>
      <c r="E68" s="1" t="s">
        <v>20</v>
      </c>
      <c r="F68" s="3" t="s">
        <v>20</v>
      </c>
      <c r="G68" s="3" t="s">
        <v>20</v>
      </c>
      <c r="H68" s="2">
        <v>400</v>
      </c>
      <c r="I68" s="3">
        <v>6328.7</v>
      </c>
      <c r="J68" s="3">
        <v>6862.1</v>
      </c>
      <c r="K68" s="2">
        <v>25</v>
      </c>
      <c r="L68" s="1">
        <v>23200</v>
      </c>
      <c r="M68" s="2">
        <v>1000</v>
      </c>
      <c r="N68" s="1">
        <v>1.05</v>
      </c>
      <c r="O68" s="1">
        <v>2.2999999999999998</v>
      </c>
      <c r="P68" s="2">
        <v>125</v>
      </c>
      <c r="Q68" s="1">
        <v>-0.8</v>
      </c>
      <c r="R68" s="1">
        <v>1.2</v>
      </c>
      <c r="S68" s="1" t="s">
        <v>20</v>
      </c>
      <c r="T68" s="2">
        <v>27</v>
      </c>
      <c r="U68" s="2">
        <v>-225</v>
      </c>
      <c r="V68" s="2">
        <v>3800</v>
      </c>
      <c r="W68" s="1" t="s">
        <v>19</v>
      </c>
    </row>
    <row r="69" spans="1:23">
      <c r="A69" s="1" t="s">
        <v>19</v>
      </c>
      <c r="B69" s="2">
        <v>175</v>
      </c>
      <c r="C69" s="1" t="s">
        <v>20</v>
      </c>
      <c r="D69" s="1" t="s">
        <v>20</v>
      </c>
      <c r="E69" s="1" t="s">
        <v>20</v>
      </c>
      <c r="F69" s="3" t="s">
        <v>20</v>
      </c>
      <c r="G69" s="1" t="s">
        <v>20</v>
      </c>
      <c r="H69" s="2">
        <v>25</v>
      </c>
      <c r="I69" s="3">
        <v>6207.3</v>
      </c>
      <c r="J69" s="3">
        <v>6749.35</v>
      </c>
      <c r="K69" s="2">
        <v>25</v>
      </c>
      <c r="L69" s="1">
        <v>23300</v>
      </c>
      <c r="M69" s="2">
        <v>75</v>
      </c>
      <c r="N69" s="1">
        <v>1.1499999999999999</v>
      </c>
      <c r="O69" s="1">
        <v>1.8</v>
      </c>
      <c r="P69" s="2">
        <v>100</v>
      </c>
      <c r="Q69" s="1">
        <v>-1</v>
      </c>
      <c r="R69" s="1">
        <v>1.3</v>
      </c>
      <c r="S69" s="1" t="s">
        <v>20</v>
      </c>
      <c r="T69" s="2">
        <v>33</v>
      </c>
      <c r="U69" s="2">
        <v>-275</v>
      </c>
      <c r="V69" s="2">
        <v>2175</v>
      </c>
      <c r="W69" s="1" t="s">
        <v>19</v>
      </c>
    </row>
    <row r="70" spans="1:23">
      <c r="A70" s="1" t="s">
        <v>19</v>
      </c>
      <c r="B70" s="2">
        <v>250</v>
      </c>
      <c r="C70" s="2" t="s">
        <v>20</v>
      </c>
      <c r="D70" s="2" t="s">
        <v>20</v>
      </c>
      <c r="E70" s="1" t="s">
        <v>20</v>
      </c>
      <c r="F70" s="3" t="s">
        <v>20</v>
      </c>
      <c r="G70" s="1" t="s">
        <v>20</v>
      </c>
      <c r="H70" s="2">
        <v>50</v>
      </c>
      <c r="I70" s="3">
        <v>6306</v>
      </c>
      <c r="J70" s="3">
        <v>6440.6</v>
      </c>
      <c r="K70" s="2">
        <v>25</v>
      </c>
      <c r="L70" s="1">
        <v>23400</v>
      </c>
      <c r="M70" s="2">
        <v>3950</v>
      </c>
      <c r="N70" s="1">
        <v>0.75</v>
      </c>
      <c r="O70" s="1">
        <v>3</v>
      </c>
      <c r="P70" s="2">
        <v>75</v>
      </c>
      <c r="Q70" s="1">
        <v>-0.95</v>
      </c>
      <c r="R70" s="1">
        <v>1.35</v>
      </c>
      <c r="S70" s="1" t="s">
        <v>20</v>
      </c>
      <c r="T70" s="2">
        <v>57</v>
      </c>
      <c r="U70" s="2">
        <v>250</v>
      </c>
      <c r="V70" s="2">
        <v>6225</v>
      </c>
      <c r="W70" s="1" t="s">
        <v>19</v>
      </c>
    </row>
    <row r="71" spans="1:23">
      <c r="A71" s="1" t="s">
        <v>19</v>
      </c>
      <c r="B71" s="2">
        <v>12975</v>
      </c>
      <c r="C71" s="1">
        <v>-275</v>
      </c>
      <c r="D71" s="1">
        <v>18</v>
      </c>
      <c r="E71" s="1" t="s">
        <v>20</v>
      </c>
      <c r="F71" s="3">
        <v>6274.35</v>
      </c>
      <c r="G71" s="3">
        <v>514.1</v>
      </c>
      <c r="H71" s="2">
        <v>100</v>
      </c>
      <c r="I71" s="3">
        <v>6231.25</v>
      </c>
      <c r="J71" s="3">
        <v>6317.85</v>
      </c>
      <c r="K71" s="2">
        <v>100</v>
      </c>
      <c r="L71" s="1">
        <v>23500</v>
      </c>
      <c r="M71" s="2">
        <v>25</v>
      </c>
      <c r="N71" s="1">
        <v>0.95</v>
      </c>
      <c r="O71" s="1">
        <v>1.2</v>
      </c>
      <c r="P71" s="2">
        <v>2275</v>
      </c>
      <c r="Q71" s="1">
        <v>-0.7</v>
      </c>
      <c r="R71" s="1">
        <v>1.2</v>
      </c>
      <c r="S71" s="1">
        <v>109.45</v>
      </c>
      <c r="T71" s="2">
        <v>6122</v>
      </c>
      <c r="U71" s="2">
        <v>700</v>
      </c>
      <c r="V71" s="2">
        <v>173950</v>
      </c>
      <c r="W71" s="1" t="s">
        <v>19</v>
      </c>
    </row>
    <row r="72" spans="1:23">
      <c r="A72" s="1" t="s">
        <v>19</v>
      </c>
      <c r="B72" s="2">
        <v>525</v>
      </c>
      <c r="C72" s="1" t="s">
        <v>20</v>
      </c>
      <c r="D72" s="1" t="s">
        <v>20</v>
      </c>
      <c r="E72" s="1" t="s">
        <v>20</v>
      </c>
      <c r="F72" s="3" t="s">
        <v>20</v>
      </c>
      <c r="G72" s="3" t="s">
        <v>20</v>
      </c>
      <c r="H72" s="2">
        <v>25</v>
      </c>
      <c r="I72" s="3">
        <v>5982.55</v>
      </c>
      <c r="J72" s="3">
        <v>6465.1</v>
      </c>
      <c r="K72" s="2">
        <v>25</v>
      </c>
      <c r="L72" s="1">
        <v>23600</v>
      </c>
      <c r="M72" s="2">
        <v>2500</v>
      </c>
      <c r="N72" s="1">
        <v>0.85</v>
      </c>
      <c r="O72" s="1">
        <v>2.2000000000000002</v>
      </c>
      <c r="P72" s="2">
        <v>225</v>
      </c>
      <c r="Q72" s="1">
        <v>-0.7</v>
      </c>
      <c r="R72" s="1">
        <v>1.2</v>
      </c>
      <c r="S72" s="1" t="s">
        <v>20</v>
      </c>
      <c r="T72" s="2">
        <v>32</v>
      </c>
      <c r="U72" s="2">
        <v>75</v>
      </c>
      <c r="V72" s="2">
        <v>2825</v>
      </c>
      <c r="W72" s="1" t="s">
        <v>19</v>
      </c>
    </row>
    <row r="73" spans="1:23">
      <c r="A73" s="1" t="s">
        <v>19</v>
      </c>
      <c r="B73" s="2">
        <v>1650</v>
      </c>
      <c r="C73" s="2" t="s">
        <v>20</v>
      </c>
      <c r="D73" s="2" t="s">
        <v>20</v>
      </c>
      <c r="E73" s="1" t="s">
        <v>20</v>
      </c>
      <c r="F73" s="3" t="s">
        <v>20</v>
      </c>
      <c r="G73" s="3" t="s">
        <v>20</v>
      </c>
      <c r="H73" s="2">
        <v>25</v>
      </c>
      <c r="I73" s="3">
        <v>5882.75</v>
      </c>
      <c r="J73" s="3">
        <v>6245</v>
      </c>
      <c r="K73" s="2">
        <v>25</v>
      </c>
      <c r="L73" s="1">
        <v>23700</v>
      </c>
      <c r="M73" s="2">
        <v>400</v>
      </c>
      <c r="N73" s="1">
        <v>1.2</v>
      </c>
      <c r="O73" s="1">
        <v>3.35</v>
      </c>
      <c r="P73" s="2">
        <v>25</v>
      </c>
      <c r="Q73" s="1">
        <v>-0.05</v>
      </c>
      <c r="R73" s="1">
        <v>2</v>
      </c>
      <c r="S73" s="1">
        <v>105.37</v>
      </c>
      <c r="T73" s="2">
        <v>106</v>
      </c>
      <c r="U73" s="2">
        <v>-600</v>
      </c>
      <c r="V73" s="2">
        <v>3650</v>
      </c>
      <c r="W73" s="1" t="s">
        <v>19</v>
      </c>
    </row>
    <row r="74" spans="1:23">
      <c r="A74" s="1" t="s">
        <v>19</v>
      </c>
      <c r="B74" s="2">
        <v>4000</v>
      </c>
      <c r="C74" s="2" t="s">
        <v>20</v>
      </c>
      <c r="D74" s="2">
        <v>1</v>
      </c>
      <c r="E74" s="1" t="s">
        <v>20</v>
      </c>
      <c r="F74" s="3">
        <v>5872.85</v>
      </c>
      <c r="G74" s="1">
        <v>550.54999999999995</v>
      </c>
      <c r="H74" s="2">
        <v>25</v>
      </c>
      <c r="I74" s="3">
        <v>5794.9</v>
      </c>
      <c r="J74" s="3">
        <v>6270.3</v>
      </c>
      <c r="K74" s="2">
        <v>25</v>
      </c>
      <c r="L74" s="1">
        <v>23800</v>
      </c>
      <c r="M74" s="2">
        <v>25</v>
      </c>
      <c r="N74" s="1">
        <v>0.95</v>
      </c>
      <c r="O74" s="1">
        <v>2.2999999999999998</v>
      </c>
      <c r="P74" s="2">
        <v>25</v>
      </c>
      <c r="Q74" s="1">
        <v>-0.15</v>
      </c>
      <c r="R74" s="1">
        <v>1.85</v>
      </c>
      <c r="S74" s="1">
        <v>104.58</v>
      </c>
      <c r="T74" s="2">
        <v>54</v>
      </c>
      <c r="U74" s="2">
        <v>-525</v>
      </c>
      <c r="V74" s="2">
        <v>6175</v>
      </c>
      <c r="W74" s="1" t="s">
        <v>19</v>
      </c>
    </row>
    <row r="75" spans="1:23">
      <c r="A75" s="1" t="s">
        <v>19</v>
      </c>
      <c r="B75" s="2">
        <v>6250</v>
      </c>
      <c r="C75" s="2" t="s">
        <v>20</v>
      </c>
      <c r="D75" s="2" t="s">
        <v>20</v>
      </c>
      <c r="E75" s="1" t="s">
        <v>20</v>
      </c>
      <c r="F75" s="3" t="s">
        <v>20</v>
      </c>
      <c r="G75" s="1" t="s">
        <v>20</v>
      </c>
      <c r="H75" s="2">
        <v>25</v>
      </c>
      <c r="I75" s="3">
        <v>5696.35</v>
      </c>
      <c r="J75" s="3">
        <v>5957.25</v>
      </c>
      <c r="K75" s="2">
        <v>25</v>
      </c>
      <c r="L75" s="1">
        <v>23900</v>
      </c>
      <c r="M75" s="2">
        <v>1125</v>
      </c>
      <c r="N75" s="1">
        <v>0.95</v>
      </c>
      <c r="O75" s="1">
        <v>1.5</v>
      </c>
      <c r="P75" s="2">
        <v>25</v>
      </c>
      <c r="Q75" s="3">
        <v>-0.35</v>
      </c>
      <c r="R75" s="1">
        <v>1.5</v>
      </c>
      <c r="S75" s="1">
        <v>99.49</v>
      </c>
      <c r="T75" s="2">
        <v>350</v>
      </c>
      <c r="U75" s="2">
        <v>-2225</v>
      </c>
      <c r="V75" s="2">
        <v>7650</v>
      </c>
      <c r="W75" s="1" t="s">
        <v>19</v>
      </c>
    </row>
    <row r="76" spans="1:23">
      <c r="A76" s="1" t="s">
        <v>19</v>
      </c>
      <c r="B76" s="2">
        <v>45850</v>
      </c>
      <c r="C76" s="2">
        <v>-4225</v>
      </c>
      <c r="D76" s="2">
        <v>242</v>
      </c>
      <c r="E76" s="1" t="s">
        <v>20</v>
      </c>
      <c r="F76" s="3">
        <v>5777.65</v>
      </c>
      <c r="G76" s="3">
        <v>758</v>
      </c>
      <c r="H76" s="2">
        <v>100</v>
      </c>
      <c r="I76" s="3">
        <v>5753.7</v>
      </c>
      <c r="J76" s="3">
        <v>5807</v>
      </c>
      <c r="K76" s="2">
        <v>450</v>
      </c>
      <c r="L76" s="1">
        <v>24000</v>
      </c>
      <c r="M76" s="2">
        <v>1425</v>
      </c>
      <c r="N76" s="1">
        <v>1.5</v>
      </c>
      <c r="O76" s="1">
        <v>1.6</v>
      </c>
      <c r="P76" s="2">
        <v>25</v>
      </c>
      <c r="Q76" s="1">
        <v>-0.65</v>
      </c>
      <c r="R76" s="1">
        <v>1.5</v>
      </c>
      <c r="S76" s="1">
        <v>100.01</v>
      </c>
      <c r="T76" s="2">
        <v>5184</v>
      </c>
      <c r="U76" s="2">
        <v>-9225</v>
      </c>
      <c r="V76" s="2">
        <v>210225</v>
      </c>
      <c r="W76" s="1" t="s">
        <v>19</v>
      </c>
    </row>
    <row r="77" spans="1:23">
      <c r="A77" s="1" t="s">
        <v>19</v>
      </c>
      <c r="B77" s="2">
        <v>8575</v>
      </c>
      <c r="C77" s="2">
        <v>-200</v>
      </c>
      <c r="D77" s="2">
        <v>15</v>
      </c>
      <c r="E77" s="1" t="s">
        <v>20</v>
      </c>
      <c r="F77" s="3">
        <v>5630.95</v>
      </c>
      <c r="G77" s="3">
        <v>609.65</v>
      </c>
      <c r="H77" s="2">
        <v>25</v>
      </c>
      <c r="I77" s="3">
        <v>5627.25</v>
      </c>
      <c r="J77" s="3">
        <v>5721.7</v>
      </c>
      <c r="K77" s="2">
        <v>25</v>
      </c>
      <c r="L77" s="1">
        <v>24100</v>
      </c>
      <c r="M77" s="2">
        <v>1300</v>
      </c>
      <c r="N77" s="1">
        <v>1.3</v>
      </c>
      <c r="O77" s="1">
        <v>1.7</v>
      </c>
      <c r="P77" s="2">
        <v>1150</v>
      </c>
      <c r="Q77" s="1">
        <v>-2.7</v>
      </c>
      <c r="R77" s="1">
        <v>1.5</v>
      </c>
      <c r="S77" s="1">
        <v>99.4</v>
      </c>
      <c r="T77" s="2">
        <v>89</v>
      </c>
      <c r="U77" s="2">
        <v>-600</v>
      </c>
      <c r="V77" s="2">
        <v>16075</v>
      </c>
      <c r="W77" s="1" t="s">
        <v>19</v>
      </c>
    </row>
    <row r="78" spans="1:23">
      <c r="A78" s="1" t="s">
        <v>19</v>
      </c>
      <c r="B78" s="2">
        <v>13500</v>
      </c>
      <c r="C78" s="2">
        <v>-25</v>
      </c>
      <c r="D78" s="2">
        <v>2</v>
      </c>
      <c r="E78" s="1" t="s">
        <v>20</v>
      </c>
      <c r="F78" s="3">
        <v>5250</v>
      </c>
      <c r="G78" s="3">
        <v>450</v>
      </c>
      <c r="H78" s="2">
        <v>25</v>
      </c>
      <c r="I78" s="3">
        <v>5401.9</v>
      </c>
      <c r="J78" s="3">
        <v>5764</v>
      </c>
      <c r="K78" s="2">
        <v>25</v>
      </c>
      <c r="L78" s="1">
        <v>24200</v>
      </c>
      <c r="M78" s="2">
        <v>775</v>
      </c>
      <c r="N78" s="1">
        <v>1.55</v>
      </c>
      <c r="O78" s="1">
        <v>3.2</v>
      </c>
      <c r="P78" s="2">
        <v>100</v>
      </c>
      <c r="Q78" s="1">
        <v>-0.55000000000000004</v>
      </c>
      <c r="R78" s="1">
        <v>1.55</v>
      </c>
      <c r="S78" s="1">
        <v>97.04</v>
      </c>
      <c r="T78" s="2">
        <v>90</v>
      </c>
      <c r="U78" s="2">
        <v>-900</v>
      </c>
      <c r="V78" s="2">
        <v>25250</v>
      </c>
      <c r="W78" s="1" t="s">
        <v>19</v>
      </c>
    </row>
    <row r="79" spans="1:23">
      <c r="A79" s="1" t="s">
        <v>19</v>
      </c>
      <c r="B79" s="2">
        <v>2075</v>
      </c>
      <c r="C79" s="2" t="s">
        <v>20</v>
      </c>
      <c r="D79" s="2">
        <v>1</v>
      </c>
      <c r="E79" s="1" t="s">
        <v>20</v>
      </c>
      <c r="F79" s="3">
        <v>5291</v>
      </c>
      <c r="G79" s="3">
        <v>443.55</v>
      </c>
      <c r="H79" s="2">
        <v>25</v>
      </c>
      <c r="I79" s="3">
        <v>5400.4</v>
      </c>
      <c r="J79" s="3">
        <v>5524.15</v>
      </c>
      <c r="K79" s="2">
        <v>25</v>
      </c>
      <c r="L79" s="1">
        <v>24300</v>
      </c>
      <c r="M79" s="2">
        <v>1150</v>
      </c>
      <c r="N79" s="1">
        <v>1.55</v>
      </c>
      <c r="O79" s="1">
        <v>2.6</v>
      </c>
      <c r="P79" s="2">
        <v>25</v>
      </c>
      <c r="Q79" s="1">
        <v>-0.85</v>
      </c>
      <c r="R79" s="1">
        <v>2.1</v>
      </c>
      <c r="S79" s="1" t="s">
        <v>20</v>
      </c>
      <c r="T79" s="2">
        <v>43</v>
      </c>
      <c r="U79" s="2">
        <v>-300</v>
      </c>
      <c r="V79" s="2">
        <v>7900</v>
      </c>
      <c r="W79" s="1" t="s">
        <v>19</v>
      </c>
    </row>
    <row r="80" spans="1:23">
      <c r="A80" s="1" t="s">
        <v>19</v>
      </c>
      <c r="B80" s="2">
        <v>2600</v>
      </c>
      <c r="C80" s="2" t="s">
        <v>20</v>
      </c>
      <c r="D80" s="2" t="s">
        <v>20</v>
      </c>
      <c r="E80" s="1" t="s">
        <v>20</v>
      </c>
      <c r="F80" s="3" t="s">
        <v>20</v>
      </c>
      <c r="G80" s="3" t="s">
        <v>20</v>
      </c>
      <c r="H80" s="2">
        <v>25</v>
      </c>
      <c r="I80" s="3">
        <v>5210.3</v>
      </c>
      <c r="J80" s="3">
        <v>5687.65</v>
      </c>
      <c r="K80" s="2">
        <v>25</v>
      </c>
      <c r="L80" s="1">
        <v>24400</v>
      </c>
      <c r="M80" s="2">
        <v>525</v>
      </c>
      <c r="N80" s="1">
        <v>1.6</v>
      </c>
      <c r="O80" s="1">
        <v>2.8</v>
      </c>
      <c r="P80" s="2">
        <v>50</v>
      </c>
      <c r="Q80" s="3">
        <v>-0.7</v>
      </c>
      <c r="R80" s="1">
        <v>1.6</v>
      </c>
      <c r="S80" s="1">
        <v>89.73</v>
      </c>
      <c r="T80" s="2">
        <v>100</v>
      </c>
      <c r="U80" s="2">
        <v>-550</v>
      </c>
      <c r="V80" s="2">
        <v>6800</v>
      </c>
      <c r="W80" s="1" t="s">
        <v>19</v>
      </c>
    </row>
    <row r="81" spans="1:23">
      <c r="A81" s="1" t="s">
        <v>19</v>
      </c>
      <c r="B81" s="2">
        <v>44975</v>
      </c>
      <c r="C81" s="2">
        <v>-3225</v>
      </c>
      <c r="D81" s="2">
        <v>574</v>
      </c>
      <c r="E81" s="1" t="s">
        <v>20</v>
      </c>
      <c r="F81" s="3">
        <v>5269.7</v>
      </c>
      <c r="G81" s="3">
        <v>778.15</v>
      </c>
      <c r="H81" s="2">
        <v>25</v>
      </c>
      <c r="I81" s="3">
        <v>5280</v>
      </c>
      <c r="J81" s="3">
        <v>5322.85</v>
      </c>
      <c r="K81" s="2">
        <v>25</v>
      </c>
      <c r="L81" s="1">
        <v>24500</v>
      </c>
      <c r="M81" s="2">
        <v>50</v>
      </c>
      <c r="N81" s="1">
        <v>2.5499999999999998</v>
      </c>
      <c r="O81" s="1">
        <v>2.95</v>
      </c>
      <c r="P81" s="2">
        <v>250</v>
      </c>
      <c r="Q81" s="1" t="s">
        <v>20</v>
      </c>
      <c r="R81" s="1">
        <v>2.5</v>
      </c>
      <c r="S81" s="1">
        <v>89.94</v>
      </c>
      <c r="T81" s="2">
        <v>3886</v>
      </c>
      <c r="U81" s="2">
        <v>-8350</v>
      </c>
      <c r="V81" s="2">
        <v>114900</v>
      </c>
      <c r="W81" s="1" t="s">
        <v>19</v>
      </c>
    </row>
    <row r="82" spans="1:23">
      <c r="A82" s="1" t="s">
        <v>19</v>
      </c>
      <c r="B82" s="2">
        <v>2800</v>
      </c>
      <c r="C82" s="2">
        <v>-50</v>
      </c>
      <c r="D82" s="2">
        <v>8</v>
      </c>
      <c r="E82" s="1" t="s">
        <v>20</v>
      </c>
      <c r="F82" s="3">
        <v>5199.3999999999996</v>
      </c>
      <c r="G82" s="3">
        <v>762.7</v>
      </c>
      <c r="H82" s="2">
        <v>50</v>
      </c>
      <c r="I82" s="3">
        <v>5142.6499999999996</v>
      </c>
      <c r="J82" s="3">
        <v>5199.3999999999996</v>
      </c>
      <c r="K82" s="2">
        <v>50</v>
      </c>
      <c r="L82" s="1">
        <v>24600</v>
      </c>
      <c r="M82" s="2">
        <v>25</v>
      </c>
      <c r="N82" s="1">
        <v>2.4</v>
      </c>
      <c r="O82" s="1">
        <v>2.7</v>
      </c>
      <c r="P82" s="2">
        <v>75</v>
      </c>
      <c r="Q82" s="1">
        <v>0.1</v>
      </c>
      <c r="R82" s="1">
        <v>2.7</v>
      </c>
      <c r="S82" s="1">
        <v>87.85</v>
      </c>
      <c r="T82" s="2">
        <v>91</v>
      </c>
      <c r="U82" s="2">
        <v>-825</v>
      </c>
      <c r="V82" s="2">
        <v>9675</v>
      </c>
      <c r="W82" s="1" t="s">
        <v>19</v>
      </c>
    </row>
    <row r="83" spans="1:23">
      <c r="A83" s="1" t="s">
        <v>19</v>
      </c>
      <c r="B83" s="2">
        <v>3275</v>
      </c>
      <c r="C83" s="2" t="s">
        <v>20</v>
      </c>
      <c r="D83" s="2" t="s">
        <v>20</v>
      </c>
      <c r="E83" s="1" t="s">
        <v>20</v>
      </c>
      <c r="F83" s="3" t="s">
        <v>20</v>
      </c>
      <c r="G83" s="3" t="s">
        <v>20</v>
      </c>
      <c r="H83" s="2">
        <v>25</v>
      </c>
      <c r="I83" s="3">
        <v>5041.1499999999996</v>
      </c>
      <c r="J83" s="3">
        <v>5109.1000000000004</v>
      </c>
      <c r="K83" s="2">
        <v>50</v>
      </c>
      <c r="L83" s="1">
        <v>24700</v>
      </c>
      <c r="M83" s="2">
        <v>25</v>
      </c>
      <c r="N83" s="1">
        <v>2.0499999999999998</v>
      </c>
      <c r="O83" s="1">
        <v>2.9</v>
      </c>
      <c r="P83" s="2">
        <v>300</v>
      </c>
      <c r="Q83" s="1">
        <v>0.3</v>
      </c>
      <c r="R83" s="1">
        <v>2.8</v>
      </c>
      <c r="S83" s="1">
        <v>86.53</v>
      </c>
      <c r="T83" s="2">
        <v>40</v>
      </c>
      <c r="U83" s="2">
        <v>-600</v>
      </c>
      <c r="V83" s="2">
        <v>5800</v>
      </c>
      <c r="W83" s="1" t="s">
        <v>19</v>
      </c>
    </row>
    <row r="84" spans="1:23">
      <c r="A84" s="1" t="s">
        <v>19</v>
      </c>
      <c r="B84" s="2">
        <v>1625</v>
      </c>
      <c r="C84" s="2">
        <v>-200</v>
      </c>
      <c r="D84" s="2">
        <v>12</v>
      </c>
      <c r="E84" s="1" t="s">
        <v>20</v>
      </c>
      <c r="F84" s="3">
        <v>4923.2</v>
      </c>
      <c r="G84" s="3">
        <v>715.2</v>
      </c>
      <c r="H84" s="2">
        <v>25</v>
      </c>
      <c r="I84" s="3">
        <v>4942</v>
      </c>
      <c r="J84" s="3">
        <v>5019.75</v>
      </c>
      <c r="K84" s="2">
        <v>25</v>
      </c>
      <c r="L84" s="1">
        <v>24800</v>
      </c>
      <c r="M84" s="2">
        <v>25</v>
      </c>
      <c r="N84" s="1">
        <v>1.95</v>
      </c>
      <c r="O84" s="1">
        <v>3.3</v>
      </c>
      <c r="P84" s="2">
        <v>25</v>
      </c>
      <c r="Q84" s="1">
        <v>0.35</v>
      </c>
      <c r="R84" s="1">
        <v>3.3</v>
      </c>
      <c r="S84" s="1">
        <v>86.09</v>
      </c>
      <c r="T84" s="2">
        <v>63</v>
      </c>
      <c r="U84" s="2">
        <v>-1000</v>
      </c>
      <c r="V84" s="2">
        <v>16175</v>
      </c>
      <c r="W84" s="1" t="s">
        <v>19</v>
      </c>
    </row>
    <row r="85" spans="1:23">
      <c r="A85" s="1" t="s">
        <v>19</v>
      </c>
      <c r="B85" s="2">
        <v>4250</v>
      </c>
      <c r="C85" s="2">
        <v>-125</v>
      </c>
      <c r="D85" s="2">
        <v>9</v>
      </c>
      <c r="E85" s="1" t="s">
        <v>20</v>
      </c>
      <c r="F85" s="3">
        <v>4559.25</v>
      </c>
      <c r="G85" s="3">
        <v>308.85000000000002</v>
      </c>
      <c r="H85" s="2">
        <v>25</v>
      </c>
      <c r="I85" s="3">
        <v>4714.3999999999996</v>
      </c>
      <c r="J85" s="3">
        <v>5032.6499999999996</v>
      </c>
      <c r="K85" s="2">
        <v>25</v>
      </c>
      <c r="L85" s="1">
        <v>24900</v>
      </c>
      <c r="M85" s="2">
        <v>25</v>
      </c>
      <c r="N85" s="1">
        <v>2.8</v>
      </c>
      <c r="O85" s="1">
        <v>3.6</v>
      </c>
      <c r="P85" s="2">
        <v>25</v>
      </c>
      <c r="Q85" s="1">
        <v>0.55000000000000004</v>
      </c>
      <c r="R85" s="1">
        <v>3.4</v>
      </c>
      <c r="S85" s="1">
        <v>85.66</v>
      </c>
      <c r="T85" s="2">
        <v>190</v>
      </c>
      <c r="U85" s="2">
        <v>-575</v>
      </c>
      <c r="V85" s="2">
        <v>8250</v>
      </c>
      <c r="W85" s="1" t="s">
        <v>19</v>
      </c>
    </row>
    <row r="86" spans="1:23">
      <c r="A86" s="1" t="s">
        <v>19</v>
      </c>
      <c r="B86" s="2">
        <v>108675</v>
      </c>
      <c r="C86" s="2">
        <v>-14100</v>
      </c>
      <c r="D86" s="2">
        <v>978</v>
      </c>
      <c r="E86" s="1" t="s">
        <v>20</v>
      </c>
      <c r="F86" s="3">
        <v>4782.55</v>
      </c>
      <c r="G86" s="3">
        <v>791.1</v>
      </c>
      <c r="H86" s="2">
        <v>25</v>
      </c>
      <c r="I86" s="3">
        <v>4780.1000000000004</v>
      </c>
      <c r="J86" s="3">
        <v>4795.6499999999996</v>
      </c>
      <c r="K86" s="2">
        <v>25</v>
      </c>
      <c r="L86" s="1">
        <v>25000</v>
      </c>
      <c r="M86" s="2">
        <v>875</v>
      </c>
      <c r="N86" s="1">
        <v>3.1</v>
      </c>
      <c r="O86" s="1">
        <v>3.75</v>
      </c>
      <c r="P86" s="2">
        <v>175</v>
      </c>
      <c r="Q86" s="1">
        <v>0.8</v>
      </c>
      <c r="R86" s="1">
        <v>3.75</v>
      </c>
      <c r="S86" s="1">
        <v>83.79</v>
      </c>
      <c r="T86" s="2">
        <v>16849</v>
      </c>
      <c r="U86" s="2">
        <v>-91950</v>
      </c>
      <c r="V86" s="2">
        <v>209850</v>
      </c>
      <c r="W86" s="1" t="s">
        <v>19</v>
      </c>
    </row>
    <row r="87" spans="1:23">
      <c r="A87" s="1" t="s">
        <v>19</v>
      </c>
      <c r="B87" s="2">
        <v>3425</v>
      </c>
      <c r="C87" s="2" t="s">
        <v>20</v>
      </c>
      <c r="D87" s="2" t="s">
        <v>20</v>
      </c>
      <c r="E87" s="1" t="s">
        <v>20</v>
      </c>
      <c r="F87" s="3" t="s">
        <v>20</v>
      </c>
      <c r="G87" s="3" t="s">
        <v>20</v>
      </c>
      <c r="H87" s="2">
        <v>25</v>
      </c>
      <c r="I87" s="3">
        <v>4518.7</v>
      </c>
      <c r="J87" s="3">
        <v>4838.8999999999996</v>
      </c>
      <c r="K87" s="2">
        <v>25</v>
      </c>
      <c r="L87" s="1">
        <v>25100</v>
      </c>
      <c r="M87" s="2">
        <v>25</v>
      </c>
      <c r="N87" s="1">
        <v>3</v>
      </c>
      <c r="O87" s="1">
        <v>3.45</v>
      </c>
      <c r="P87" s="2">
        <v>50</v>
      </c>
      <c r="Q87" s="1">
        <v>0.4</v>
      </c>
      <c r="R87" s="1">
        <v>3.45</v>
      </c>
      <c r="S87" s="1" t="s">
        <v>20</v>
      </c>
      <c r="T87" s="2">
        <v>64</v>
      </c>
      <c r="U87" s="2">
        <v>-1000</v>
      </c>
      <c r="V87" s="2">
        <v>4300</v>
      </c>
      <c r="W87" s="1" t="s">
        <v>19</v>
      </c>
    </row>
    <row r="88" spans="1:23">
      <c r="A88" s="1" t="s">
        <v>19</v>
      </c>
      <c r="B88" s="2">
        <v>1450</v>
      </c>
      <c r="C88" s="2" t="s">
        <v>20</v>
      </c>
      <c r="D88" s="2">
        <v>1</v>
      </c>
      <c r="E88" s="1" t="s">
        <v>20</v>
      </c>
      <c r="F88" s="3">
        <v>4569.05</v>
      </c>
      <c r="G88" s="3">
        <v>506.85</v>
      </c>
      <c r="H88" s="2">
        <v>25</v>
      </c>
      <c r="I88" s="3">
        <v>4421.8999999999996</v>
      </c>
      <c r="J88" s="3">
        <v>4726.8</v>
      </c>
      <c r="K88" s="2">
        <v>25</v>
      </c>
      <c r="L88" s="1">
        <v>25200</v>
      </c>
      <c r="M88" s="2">
        <v>75</v>
      </c>
      <c r="N88" s="3">
        <v>2.35</v>
      </c>
      <c r="O88" s="3">
        <v>4.8499999999999996</v>
      </c>
      <c r="P88" s="2">
        <v>2425</v>
      </c>
      <c r="Q88" s="1" t="s">
        <v>20</v>
      </c>
      <c r="R88" s="3">
        <v>3.35</v>
      </c>
      <c r="S88" s="1">
        <v>79.12</v>
      </c>
      <c r="T88" s="2">
        <v>169</v>
      </c>
      <c r="U88" s="2">
        <v>-1025</v>
      </c>
      <c r="V88" s="2">
        <v>6650</v>
      </c>
      <c r="W88" s="1" t="s">
        <v>19</v>
      </c>
    </row>
    <row r="89" spans="1:23">
      <c r="A89" s="1" t="s">
        <v>19</v>
      </c>
      <c r="B89" s="2">
        <v>2875</v>
      </c>
      <c r="C89" s="2" t="s">
        <v>20</v>
      </c>
      <c r="D89" s="2">
        <v>5</v>
      </c>
      <c r="E89" s="1" t="s">
        <v>20</v>
      </c>
      <c r="F89" s="3">
        <v>4411.45</v>
      </c>
      <c r="G89" s="3">
        <v>679.55</v>
      </c>
      <c r="H89" s="2">
        <v>25</v>
      </c>
      <c r="I89" s="3">
        <v>4361</v>
      </c>
      <c r="J89" s="3">
        <v>4555.45</v>
      </c>
      <c r="K89" s="2">
        <v>25</v>
      </c>
      <c r="L89" s="1">
        <v>25300</v>
      </c>
      <c r="M89" s="2">
        <v>25</v>
      </c>
      <c r="N89" s="3">
        <v>3.25</v>
      </c>
      <c r="O89" s="3">
        <v>4.4000000000000004</v>
      </c>
      <c r="P89" s="2">
        <v>25</v>
      </c>
      <c r="Q89" s="1">
        <v>-0.05</v>
      </c>
      <c r="R89" s="1">
        <v>3.5</v>
      </c>
      <c r="S89" s="1" t="s">
        <v>20</v>
      </c>
      <c r="T89" s="2">
        <v>211</v>
      </c>
      <c r="U89" s="2">
        <v>-650</v>
      </c>
      <c r="V89" s="2">
        <v>6525</v>
      </c>
      <c r="W89" s="1" t="s">
        <v>19</v>
      </c>
    </row>
    <row r="90" spans="1:23">
      <c r="A90" s="1" t="s">
        <v>19</v>
      </c>
      <c r="B90" s="2">
        <v>4775</v>
      </c>
      <c r="C90" s="2">
        <v>-100</v>
      </c>
      <c r="D90" s="2">
        <v>18</v>
      </c>
      <c r="E90" s="1" t="s">
        <v>20</v>
      </c>
      <c r="F90" s="3">
        <v>4363.5</v>
      </c>
      <c r="G90" s="3">
        <v>641.95000000000005</v>
      </c>
      <c r="H90" s="2">
        <v>25</v>
      </c>
      <c r="I90" s="3">
        <v>4286.7</v>
      </c>
      <c r="J90" s="3">
        <v>4465</v>
      </c>
      <c r="K90" s="2">
        <v>25</v>
      </c>
      <c r="L90" s="1">
        <v>25400</v>
      </c>
      <c r="M90" s="2">
        <v>75</v>
      </c>
      <c r="N90" s="3">
        <v>3.25</v>
      </c>
      <c r="O90" s="3">
        <v>4.45</v>
      </c>
      <c r="P90" s="2">
        <v>125</v>
      </c>
      <c r="Q90" s="1">
        <v>0.35</v>
      </c>
      <c r="R90" s="3">
        <v>3.75</v>
      </c>
      <c r="S90" s="1">
        <v>75.989999999999995</v>
      </c>
      <c r="T90" s="2">
        <v>412</v>
      </c>
      <c r="U90" s="2">
        <v>-2125</v>
      </c>
      <c r="V90" s="2">
        <v>8675</v>
      </c>
      <c r="W90" s="1" t="s">
        <v>19</v>
      </c>
    </row>
    <row r="91" spans="1:23">
      <c r="A91" s="1" t="s">
        <v>19</v>
      </c>
      <c r="B91" s="2">
        <v>73975</v>
      </c>
      <c r="C91" s="2">
        <v>-18050</v>
      </c>
      <c r="D91" s="2">
        <v>1011</v>
      </c>
      <c r="E91" s="1" t="s">
        <v>20</v>
      </c>
      <c r="F91" s="3">
        <v>4273.95</v>
      </c>
      <c r="G91" s="3">
        <v>730.55</v>
      </c>
      <c r="H91" s="2">
        <v>25</v>
      </c>
      <c r="I91" s="3">
        <v>4280.1000000000004</v>
      </c>
      <c r="J91" s="3">
        <v>4284.6000000000004</v>
      </c>
      <c r="K91" s="2">
        <v>25</v>
      </c>
      <c r="L91" s="1">
        <v>25500</v>
      </c>
      <c r="M91" s="2">
        <v>25</v>
      </c>
      <c r="N91" s="3">
        <v>3.7</v>
      </c>
      <c r="O91" s="3">
        <v>4.5</v>
      </c>
      <c r="P91" s="2">
        <v>125</v>
      </c>
      <c r="Q91" s="1">
        <v>1.1000000000000001</v>
      </c>
      <c r="R91" s="1">
        <v>4.5</v>
      </c>
      <c r="S91" s="1">
        <v>75.930000000000007</v>
      </c>
      <c r="T91" s="2">
        <v>32178</v>
      </c>
      <c r="U91" s="2">
        <v>-76125</v>
      </c>
      <c r="V91" s="2">
        <v>142100</v>
      </c>
      <c r="W91" s="1" t="s">
        <v>19</v>
      </c>
    </row>
    <row r="92" spans="1:23">
      <c r="A92" s="1" t="s">
        <v>19</v>
      </c>
      <c r="B92" s="2">
        <v>3100</v>
      </c>
      <c r="C92" s="2" t="s">
        <v>20</v>
      </c>
      <c r="D92" s="2">
        <v>5</v>
      </c>
      <c r="E92" s="1" t="s">
        <v>20</v>
      </c>
      <c r="F92" s="3">
        <v>4162.25</v>
      </c>
      <c r="G92" s="3">
        <v>801.05</v>
      </c>
      <c r="H92" s="2">
        <v>25</v>
      </c>
      <c r="I92" s="3">
        <v>4131.55</v>
      </c>
      <c r="J92" s="3">
        <v>4198.8999999999996</v>
      </c>
      <c r="K92" s="2">
        <v>50</v>
      </c>
      <c r="L92" s="1">
        <v>25600</v>
      </c>
      <c r="M92" s="2">
        <v>25</v>
      </c>
      <c r="N92" s="3">
        <v>3.25</v>
      </c>
      <c r="O92" s="3">
        <v>4.2</v>
      </c>
      <c r="P92" s="2">
        <v>150</v>
      </c>
      <c r="Q92" s="1">
        <v>-0.05</v>
      </c>
      <c r="R92" s="1">
        <v>3.3</v>
      </c>
      <c r="S92" s="1">
        <v>75.040000000000006</v>
      </c>
      <c r="T92" s="2">
        <v>470</v>
      </c>
      <c r="U92" s="2">
        <v>-875</v>
      </c>
      <c r="V92" s="2">
        <v>13450</v>
      </c>
      <c r="W92" s="1" t="s">
        <v>19</v>
      </c>
    </row>
    <row r="93" spans="1:23">
      <c r="A93" s="1" t="s">
        <v>19</v>
      </c>
      <c r="B93" s="2">
        <v>7825</v>
      </c>
      <c r="C93" s="2" t="s">
        <v>20</v>
      </c>
      <c r="D93" s="2" t="s">
        <v>20</v>
      </c>
      <c r="E93" s="1" t="s">
        <v>20</v>
      </c>
      <c r="F93" s="3" t="s">
        <v>20</v>
      </c>
      <c r="G93" s="3" t="s">
        <v>20</v>
      </c>
      <c r="H93" s="2">
        <v>25</v>
      </c>
      <c r="I93" s="3">
        <v>3907.35</v>
      </c>
      <c r="J93" s="3">
        <v>4208.3999999999996</v>
      </c>
      <c r="K93" s="2">
        <v>25</v>
      </c>
      <c r="L93" s="1">
        <v>25700</v>
      </c>
      <c r="M93" s="2">
        <v>25</v>
      </c>
      <c r="N93" s="3">
        <v>3.3</v>
      </c>
      <c r="O93" s="3">
        <v>4.4000000000000004</v>
      </c>
      <c r="P93" s="2">
        <v>25</v>
      </c>
      <c r="Q93" s="1">
        <v>0.5</v>
      </c>
      <c r="R93" s="1">
        <v>3.95</v>
      </c>
      <c r="S93" s="1">
        <v>71.739999999999995</v>
      </c>
      <c r="T93" s="2">
        <v>465</v>
      </c>
      <c r="U93" s="2">
        <v>-75</v>
      </c>
      <c r="V93" s="2">
        <v>9175</v>
      </c>
      <c r="W93" s="1" t="s">
        <v>19</v>
      </c>
    </row>
    <row r="94" spans="1:23">
      <c r="A94" s="1" t="s">
        <v>19</v>
      </c>
      <c r="B94" s="2">
        <v>1600</v>
      </c>
      <c r="C94" s="2">
        <v>-75</v>
      </c>
      <c r="D94" s="2">
        <v>6</v>
      </c>
      <c r="E94" s="1" t="s">
        <v>20</v>
      </c>
      <c r="F94" s="3">
        <v>3903.05</v>
      </c>
      <c r="G94" s="3">
        <v>581</v>
      </c>
      <c r="H94" s="2">
        <v>25</v>
      </c>
      <c r="I94" s="3">
        <v>3851.9</v>
      </c>
      <c r="J94" s="3">
        <v>4168.05</v>
      </c>
      <c r="K94" s="2">
        <v>25</v>
      </c>
      <c r="L94" s="1">
        <v>25800</v>
      </c>
      <c r="M94" s="2">
        <v>25</v>
      </c>
      <c r="N94" s="3">
        <v>3.4</v>
      </c>
      <c r="O94" s="3">
        <v>5.25</v>
      </c>
      <c r="P94" s="2">
        <v>100</v>
      </c>
      <c r="Q94" s="1">
        <v>-0.05</v>
      </c>
      <c r="R94" s="1">
        <v>3.55</v>
      </c>
      <c r="S94" s="1">
        <v>68.8</v>
      </c>
      <c r="T94" s="2">
        <v>622</v>
      </c>
      <c r="U94" s="2">
        <v>-1475</v>
      </c>
      <c r="V94" s="2">
        <v>15100</v>
      </c>
      <c r="W94" s="1" t="s">
        <v>19</v>
      </c>
    </row>
    <row r="95" spans="1:23">
      <c r="A95" s="1" t="s">
        <v>19</v>
      </c>
      <c r="B95" s="2">
        <v>5150</v>
      </c>
      <c r="C95" s="2" t="s">
        <v>20</v>
      </c>
      <c r="D95" s="2">
        <v>4</v>
      </c>
      <c r="E95" s="1" t="s">
        <v>20</v>
      </c>
      <c r="F95" s="3">
        <v>3880</v>
      </c>
      <c r="G95" s="3">
        <v>628</v>
      </c>
      <c r="H95" s="2">
        <v>50</v>
      </c>
      <c r="I95" s="3">
        <v>3850.1</v>
      </c>
      <c r="J95" s="3">
        <v>3896.55</v>
      </c>
      <c r="K95" s="2">
        <v>75</v>
      </c>
      <c r="L95" s="1">
        <v>25900</v>
      </c>
      <c r="M95" s="2">
        <v>25</v>
      </c>
      <c r="N95" s="3">
        <v>2.65</v>
      </c>
      <c r="O95" s="3">
        <v>4.95</v>
      </c>
      <c r="P95" s="2">
        <v>200</v>
      </c>
      <c r="Q95" s="1">
        <v>0.85</v>
      </c>
      <c r="R95" s="1">
        <v>4.55</v>
      </c>
      <c r="S95" s="1">
        <v>68.709999999999994</v>
      </c>
      <c r="T95" s="2">
        <v>751</v>
      </c>
      <c r="U95" s="2">
        <v>425</v>
      </c>
      <c r="V95" s="2">
        <v>15825</v>
      </c>
      <c r="W95" s="1" t="s">
        <v>19</v>
      </c>
    </row>
    <row r="96" spans="1:23">
      <c r="A96" s="1" t="s">
        <v>19</v>
      </c>
      <c r="B96" s="2">
        <v>91675</v>
      </c>
      <c r="C96" s="2">
        <v>-5250</v>
      </c>
      <c r="D96" s="2">
        <v>356</v>
      </c>
      <c r="E96" s="1" t="s">
        <v>20</v>
      </c>
      <c r="F96" s="3">
        <v>3779.25</v>
      </c>
      <c r="G96" s="3">
        <v>774.1</v>
      </c>
      <c r="H96" s="2">
        <v>25</v>
      </c>
      <c r="I96" s="3">
        <v>3780.1</v>
      </c>
      <c r="J96" s="3">
        <v>3791.75</v>
      </c>
      <c r="K96" s="2">
        <v>25</v>
      </c>
      <c r="L96" s="1">
        <v>26000</v>
      </c>
      <c r="M96" s="2">
        <v>425</v>
      </c>
      <c r="N96" s="3">
        <v>4.6500000000000004</v>
      </c>
      <c r="O96" s="3">
        <v>4.75</v>
      </c>
      <c r="P96" s="2">
        <v>50</v>
      </c>
      <c r="Q96" s="1">
        <v>0.85</v>
      </c>
      <c r="R96" s="1">
        <v>4.75</v>
      </c>
      <c r="S96" s="1">
        <v>67.84</v>
      </c>
      <c r="T96" s="2">
        <v>78304</v>
      </c>
      <c r="U96" s="2">
        <v>-60800</v>
      </c>
      <c r="V96" s="2">
        <v>682350</v>
      </c>
      <c r="W96" s="1" t="s">
        <v>19</v>
      </c>
    </row>
    <row r="97" spans="1:23">
      <c r="A97" s="1" t="s">
        <v>19</v>
      </c>
      <c r="B97" s="2">
        <v>2975</v>
      </c>
      <c r="C97" s="2">
        <v>-150</v>
      </c>
      <c r="D97" s="2">
        <v>7</v>
      </c>
      <c r="E97" s="1" t="s">
        <v>20</v>
      </c>
      <c r="F97" s="3">
        <v>3663.85</v>
      </c>
      <c r="G97" s="3">
        <v>713.85</v>
      </c>
      <c r="H97" s="2">
        <v>100</v>
      </c>
      <c r="I97" s="3">
        <v>3658.55</v>
      </c>
      <c r="J97" s="3">
        <v>3711.65</v>
      </c>
      <c r="K97" s="2">
        <v>100</v>
      </c>
      <c r="L97" s="1">
        <v>26100</v>
      </c>
      <c r="M97" s="2">
        <v>25</v>
      </c>
      <c r="N97" s="3">
        <v>4.0999999999999996</v>
      </c>
      <c r="O97" s="3">
        <v>5.7</v>
      </c>
      <c r="P97" s="2">
        <v>25</v>
      </c>
      <c r="Q97" s="1">
        <v>2.35</v>
      </c>
      <c r="R97" s="1">
        <v>6.5</v>
      </c>
      <c r="S97" s="1">
        <v>65.59</v>
      </c>
      <c r="T97" s="2">
        <v>947</v>
      </c>
      <c r="U97" s="2">
        <v>-1575</v>
      </c>
      <c r="V97" s="2">
        <v>21725</v>
      </c>
      <c r="W97" s="1" t="s">
        <v>19</v>
      </c>
    </row>
    <row r="98" spans="1:23">
      <c r="A98" s="1" t="s">
        <v>19</v>
      </c>
      <c r="B98" s="2">
        <v>3800</v>
      </c>
      <c r="C98" s="2">
        <v>-75</v>
      </c>
      <c r="D98" s="2">
        <v>5</v>
      </c>
      <c r="E98" s="1" t="s">
        <v>20</v>
      </c>
      <c r="F98" s="3">
        <v>3564.2</v>
      </c>
      <c r="G98" s="3">
        <v>498.65</v>
      </c>
      <c r="H98" s="2">
        <v>100</v>
      </c>
      <c r="I98" s="3">
        <v>3549.15</v>
      </c>
      <c r="J98" s="3">
        <v>3610.05</v>
      </c>
      <c r="K98" s="2">
        <v>100</v>
      </c>
      <c r="L98" s="1">
        <v>26200</v>
      </c>
      <c r="M98" s="2">
        <v>100</v>
      </c>
      <c r="N98" s="3">
        <v>4.8</v>
      </c>
      <c r="O98" s="3">
        <v>6.4</v>
      </c>
      <c r="P98" s="2">
        <v>200</v>
      </c>
      <c r="Q98" s="1">
        <v>0.45</v>
      </c>
      <c r="R98" s="1">
        <v>5.55</v>
      </c>
      <c r="S98" s="1">
        <v>64.400000000000006</v>
      </c>
      <c r="T98" s="2">
        <v>2243</v>
      </c>
      <c r="U98" s="2">
        <v>-7175</v>
      </c>
      <c r="V98" s="2">
        <v>18775</v>
      </c>
      <c r="W98" s="1" t="s">
        <v>19</v>
      </c>
    </row>
    <row r="99" spans="1:23">
      <c r="A99" s="1" t="s">
        <v>19</v>
      </c>
      <c r="B99" s="2">
        <v>4250</v>
      </c>
      <c r="C99" s="2">
        <v>-75</v>
      </c>
      <c r="D99" s="2">
        <v>13</v>
      </c>
      <c r="E99" s="1" t="s">
        <v>20</v>
      </c>
      <c r="F99" s="3">
        <v>3402.55</v>
      </c>
      <c r="G99" s="3">
        <v>397.3</v>
      </c>
      <c r="H99" s="2">
        <v>50</v>
      </c>
      <c r="I99" s="3">
        <v>3449.2</v>
      </c>
      <c r="J99" s="3">
        <v>3501.45</v>
      </c>
      <c r="K99" s="2">
        <v>100</v>
      </c>
      <c r="L99" s="1">
        <v>26300</v>
      </c>
      <c r="M99" s="2">
        <v>50</v>
      </c>
      <c r="N99" s="3">
        <v>4.7</v>
      </c>
      <c r="O99" s="3">
        <v>5.95</v>
      </c>
      <c r="P99" s="2">
        <v>100</v>
      </c>
      <c r="Q99" s="1">
        <v>0.3</v>
      </c>
      <c r="R99" s="1">
        <v>5.65</v>
      </c>
      <c r="S99" s="1">
        <v>62.82</v>
      </c>
      <c r="T99" s="2">
        <v>1693</v>
      </c>
      <c r="U99" s="2">
        <v>-8800</v>
      </c>
      <c r="V99" s="2">
        <v>16350</v>
      </c>
      <c r="W99" s="1" t="s">
        <v>19</v>
      </c>
    </row>
    <row r="100" spans="1:23">
      <c r="A100" s="1" t="s">
        <v>19</v>
      </c>
      <c r="B100" s="2">
        <v>4125</v>
      </c>
      <c r="C100" s="2">
        <v>-25</v>
      </c>
      <c r="D100" s="2">
        <v>7</v>
      </c>
      <c r="E100" s="1" t="s">
        <v>20</v>
      </c>
      <c r="F100" s="3">
        <v>3309.15</v>
      </c>
      <c r="G100" s="3">
        <v>688.05</v>
      </c>
      <c r="H100" s="2">
        <v>100</v>
      </c>
      <c r="I100" s="3">
        <v>3358.85</v>
      </c>
      <c r="J100" s="3">
        <v>3405.2</v>
      </c>
      <c r="K100" s="2">
        <v>100</v>
      </c>
      <c r="L100" s="1">
        <v>26400</v>
      </c>
      <c r="M100" s="2">
        <v>500</v>
      </c>
      <c r="N100" s="3">
        <v>5</v>
      </c>
      <c r="O100" s="3">
        <v>6.2</v>
      </c>
      <c r="P100" s="2">
        <v>25</v>
      </c>
      <c r="Q100" s="1">
        <v>-0.5</v>
      </c>
      <c r="R100" s="1">
        <v>5.5</v>
      </c>
      <c r="S100" s="1">
        <v>61.9</v>
      </c>
      <c r="T100" s="2">
        <v>2534</v>
      </c>
      <c r="U100" s="2">
        <v>-8600</v>
      </c>
      <c r="V100" s="2">
        <v>31175</v>
      </c>
      <c r="W100" s="1" t="s">
        <v>19</v>
      </c>
    </row>
    <row r="101" spans="1:23">
      <c r="A101" s="1" t="s">
        <v>19</v>
      </c>
      <c r="B101" s="2">
        <v>67625</v>
      </c>
      <c r="C101" s="2">
        <v>-1625</v>
      </c>
      <c r="D101" s="2">
        <v>194</v>
      </c>
      <c r="E101" s="1" t="s">
        <v>20</v>
      </c>
      <c r="F101" s="3">
        <v>3270.2</v>
      </c>
      <c r="G101" s="3">
        <v>749.45</v>
      </c>
      <c r="H101" s="2">
        <v>125</v>
      </c>
      <c r="I101" s="3">
        <v>3273.5</v>
      </c>
      <c r="J101" s="3">
        <v>3289.6</v>
      </c>
      <c r="K101" s="2">
        <v>25</v>
      </c>
      <c r="L101" s="1">
        <v>26500</v>
      </c>
      <c r="M101" s="2">
        <v>25</v>
      </c>
      <c r="N101" s="3">
        <v>5.35</v>
      </c>
      <c r="O101" s="3">
        <v>5.8</v>
      </c>
      <c r="P101" s="2">
        <v>75</v>
      </c>
      <c r="Q101" s="1">
        <v>-0.65</v>
      </c>
      <c r="R101" s="1">
        <v>5.75</v>
      </c>
      <c r="S101" s="1">
        <v>60.6</v>
      </c>
      <c r="T101" s="2">
        <v>85425</v>
      </c>
      <c r="U101" s="2">
        <v>23925</v>
      </c>
      <c r="V101" s="2">
        <v>765475</v>
      </c>
      <c r="W101" s="1" t="s">
        <v>19</v>
      </c>
    </row>
    <row r="102" spans="1:23">
      <c r="A102" s="1" t="s">
        <v>19</v>
      </c>
      <c r="B102" s="2">
        <v>2300</v>
      </c>
      <c r="C102" s="2" t="s">
        <v>20</v>
      </c>
      <c r="D102" s="2">
        <v>5</v>
      </c>
      <c r="E102" s="1" t="s">
        <v>20</v>
      </c>
      <c r="F102" s="3">
        <v>3109.4</v>
      </c>
      <c r="G102" s="3">
        <v>446.8</v>
      </c>
      <c r="H102" s="2">
        <v>100</v>
      </c>
      <c r="I102" s="3">
        <v>3157.65</v>
      </c>
      <c r="J102" s="3">
        <v>3194.4</v>
      </c>
      <c r="K102" s="2">
        <v>50</v>
      </c>
      <c r="L102" s="1">
        <v>26600</v>
      </c>
      <c r="M102" s="2">
        <v>225</v>
      </c>
      <c r="N102" s="3">
        <v>4.75</v>
      </c>
      <c r="O102" s="3">
        <v>5.3</v>
      </c>
      <c r="P102" s="2">
        <v>25</v>
      </c>
      <c r="Q102" s="1">
        <v>-3.15</v>
      </c>
      <c r="R102" s="1">
        <v>4.2</v>
      </c>
      <c r="S102" s="1">
        <v>58.91</v>
      </c>
      <c r="T102" s="2">
        <v>4755</v>
      </c>
      <c r="U102" s="2">
        <v>-1925</v>
      </c>
      <c r="V102" s="2">
        <v>98100</v>
      </c>
      <c r="W102" s="1" t="s">
        <v>19</v>
      </c>
    </row>
    <row r="103" spans="1:23">
      <c r="A103" s="1" t="s">
        <v>19</v>
      </c>
      <c r="B103" s="2">
        <v>6875</v>
      </c>
      <c r="C103" s="2">
        <v>-1350</v>
      </c>
      <c r="D103" s="2">
        <v>164</v>
      </c>
      <c r="E103" s="1" t="s">
        <v>20</v>
      </c>
      <c r="F103" s="3">
        <v>3072</v>
      </c>
      <c r="G103" s="3">
        <v>752</v>
      </c>
      <c r="H103" s="2">
        <v>100</v>
      </c>
      <c r="I103" s="3">
        <v>3061</v>
      </c>
      <c r="J103" s="3">
        <v>3097.3</v>
      </c>
      <c r="K103" s="2">
        <v>50</v>
      </c>
      <c r="L103" s="1">
        <v>26700</v>
      </c>
      <c r="M103" s="2">
        <v>75</v>
      </c>
      <c r="N103" s="3">
        <v>4.8499999999999996</v>
      </c>
      <c r="O103" s="3">
        <v>6.7</v>
      </c>
      <c r="P103" s="2">
        <v>25</v>
      </c>
      <c r="Q103" s="1">
        <v>-4.05</v>
      </c>
      <c r="R103" s="3">
        <v>4.8</v>
      </c>
      <c r="S103" s="1">
        <v>58.19</v>
      </c>
      <c r="T103" s="2">
        <v>4539</v>
      </c>
      <c r="U103" s="2">
        <v>-10850</v>
      </c>
      <c r="V103" s="2">
        <v>38350</v>
      </c>
      <c r="W103" s="1" t="s">
        <v>19</v>
      </c>
    </row>
    <row r="104" spans="1:23">
      <c r="A104" s="1" t="s">
        <v>19</v>
      </c>
      <c r="B104" s="2">
        <v>10550</v>
      </c>
      <c r="C104" s="2">
        <v>-425</v>
      </c>
      <c r="D104" s="2">
        <v>34</v>
      </c>
      <c r="E104" s="1" t="s">
        <v>20</v>
      </c>
      <c r="F104" s="3">
        <v>2920</v>
      </c>
      <c r="G104" s="3">
        <v>645</v>
      </c>
      <c r="H104" s="2">
        <v>100</v>
      </c>
      <c r="I104" s="3">
        <v>2959.55</v>
      </c>
      <c r="J104" s="3">
        <v>2992.4</v>
      </c>
      <c r="K104" s="2">
        <v>200</v>
      </c>
      <c r="L104" s="1">
        <v>26800</v>
      </c>
      <c r="M104" s="2">
        <v>200</v>
      </c>
      <c r="N104" s="3">
        <v>5.75</v>
      </c>
      <c r="O104" s="3">
        <v>6.7</v>
      </c>
      <c r="P104" s="2">
        <v>25</v>
      </c>
      <c r="Q104" s="1">
        <v>-4.95</v>
      </c>
      <c r="R104" s="3">
        <v>5.45</v>
      </c>
      <c r="S104" s="1">
        <v>57.09</v>
      </c>
      <c r="T104" s="2">
        <v>4653</v>
      </c>
      <c r="U104" s="2">
        <v>-17325</v>
      </c>
      <c r="V104" s="2">
        <v>58675</v>
      </c>
      <c r="W104" s="1" t="s">
        <v>19</v>
      </c>
    </row>
    <row r="105" spans="1:23">
      <c r="A105" s="1" t="s">
        <v>19</v>
      </c>
      <c r="B105" s="2">
        <v>2025</v>
      </c>
      <c r="C105" s="2">
        <v>-25</v>
      </c>
      <c r="D105" s="2">
        <v>10</v>
      </c>
      <c r="E105" s="1" t="s">
        <v>20</v>
      </c>
      <c r="F105" s="3">
        <v>2811.6</v>
      </c>
      <c r="G105" s="3">
        <v>675.65</v>
      </c>
      <c r="H105" s="2">
        <v>100</v>
      </c>
      <c r="I105" s="3">
        <v>2856.2</v>
      </c>
      <c r="J105" s="3">
        <v>2892.25</v>
      </c>
      <c r="K105" s="2">
        <v>50</v>
      </c>
      <c r="L105" s="1">
        <v>26900</v>
      </c>
      <c r="M105" s="2">
        <v>125</v>
      </c>
      <c r="N105" s="3">
        <v>4.5</v>
      </c>
      <c r="O105" s="3">
        <v>6.55</v>
      </c>
      <c r="P105" s="2">
        <v>25</v>
      </c>
      <c r="Q105" s="1">
        <v>-7.1</v>
      </c>
      <c r="R105" s="3">
        <v>5.55</v>
      </c>
      <c r="S105" s="1">
        <v>56.63</v>
      </c>
      <c r="T105" s="2">
        <v>5254</v>
      </c>
      <c r="U105" s="2">
        <v>-10850</v>
      </c>
      <c r="V105" s="2">
        <v>25625</v>
      </c>
      <c r="W105" s="1" t="s">
        <v>19</v>
      </c>
    </row>
    <row r="106" spans="1:23">
      <c r="A106" s="1" t="s">
        <v>19</v>
      </c>
      <c r="B106" s="2">
        <v>145850</v>
      </c>
      <c r="C106" s="2">
        <v>-5950</v>
      </c>
      <c r="D106" s="2">
        <v>574</v>
      </c>
      <c r="E106" s="1" t="s">
        <v>20</v>
      </c>
      <c r="F106" s="3">
        <v>2769.7</v>
      </c>
      <c r="G106" s="3">
        <v>739.55</v>
      </c>
      <c r="H106" s="2">
        <v>25</v>
      </c>
      <c r="I106" s="3">
        <v>2780</v>
      </c>
      <c r="J106" s="3">
        <v>2793.85</v>
      </c>
      <c r="K106" s="2">
        <v>50</v>
      </c>
      <c r="L106" s="1">
        <v>27000</v>
      </c>
      <c r="M106" s="2">
        <v>150</v>
      </c>
      <c r="N106" s="3">
        <v>7</v>
      </c>
      <c r="O106" s="3">
        <v>7.6</v>
      </c>
      <c r="P106" s="2">
        <v>25</v>
      </c>
      <c r="Q106" s="1">
        <v>-7.5</v>
      </c>
      <c r="R106" s="3">
        <v>7.65</v>
      </c>
      <c r="S106" s="1">
        <v>55.92</v>
      </c>
      <c r="T106" s="2">
        <v>123260</v>
      </c>
      <c r="U106" s="2">
        <v>88175</v>
      </c>
      <c r="V106" s="2">
        <v>1105425</v>
      </c>
      <c r="W106" s="1" t="s">
        <v>19</v>
      </c>
    </row>
    <row r="107" spans="1:23">
      <c r="A107" s="1" t="s">
        <v>19</v>
      </c>
      <c r="B107" s="2">
        <v>3625</v>
      </c>
      <c r="C107" s="2">
        <v>-250</v>
      </c>
      <c r="D107" s="2">
        <v>35</v>
      </c>
      <c r="E107" s="1" t="s">
        <v>20</v>
      </c>
      <c r="F107" s="3">
        <v>2667.45</v>
      </c>
      <c r="G107" s="3">
        <v>744.5</v>
      </c>
      <c r="H107" s="2">
        <v>100</v>
      </c>
      <c r="I107" s="3">
        <v>2670.8</v>
      </c>
      <c r="J107" s="3">
        <v>2692</v>
      </c>
      <c r="K107" s="2">
        <v>75</v>
      </c>
      <c r="L107" s="1">
        <v>27100</v>
      </c>
      <c r="M107" s="2">
        <v>275</v>
      </c>
      <c r="N107" s="3">
        <v>7.05</v>
      </c>
      <c r="O107" s="3">
        <v>7.95</v>
      </c>
      <c r="P107" s="2">
        <v>25</v>
      </c>
      <c r="Q107" s="1">
        <v>-10.7</v>
      </c>
      <c r="R107" s="3">
        <v>7.05</v>
      </c>
      <c r="S107" s="1">
        <v>55.27</v>
      </c>
      <c r="T107" s="2">
        <v>14853</v>
      </c>
      <c r="U107" s="2">
        <v>-22475</v>
      </c>
      <c r="V107" s="2">
        <v>28600</v>
      </c>
      <c r="W107" s="1" t="s">
        <v>19</v>
      </c>
    </row>
    <row r="108" spans="1:23">
      <c r="A108" s="1" t="s">
        <v>19</v>
      </c>
      <c r="B108" s="2">
        <v>9025</v>
      </c>
      <c r="C108" s="2">
        <v>-200</v>
      </c>
      <c r="D108" s="2">
        <v>12</v>
      </c>
      <c r="E108" s="1" t="s">
        <v>20</v>
      </c>
      <c r="F108" s="3">
        <v>2468.9</v>
      </c>
      <c r="G108" s="3">
        <v>528.54999999999995</v>
      </c>
      <c r="H108" s="2">
        <v>125</v>
      </c>
      <c r="I108" s="3">
        <v>2568</v>
      </c>
      <c r="J108" s="3">
        <v>2591.8000000000002</v>
      </c>
      <c r="K108" s="2">
        <v>50</v>
      </c>
      <c r="L108" s="1">
        <v>27200</v>
      </c>
      <c r="M108" s="2">
        <v>75</v>
      </c>
      <c r="N108" s="3">
        <v>7.3</v>
      </c>
      <c r="O108" s="3">
        <v>7.6</v>
      </c>
      <c r="P108" s="2">
        <v>350</v>
      </c>
      <c r="Q108" s="1">
        <v>-13.7</v>
      </c>
      <c r="R108" s="3">
        <v>7.6</v>
      </c>
      <c r="S108" s="1">
        <v>54.41</v>
      </c>
      <c r="T108" s="2">
        <v>19732</v>
      </c>
      <c r="U108" s="2">
        <v>-21125</v>
      </c>
      <c r="V108" s="2">
        <v>50350</v>
      </c>
      <c r="W108" s="1" t="s">
        <v>19</v>
      </c>
    </row>
    <row r="109" spans="1:23">
      <c r="A109" s="1" t="s">
        <v>19</v>
      </c>
      <c r="B109" s="2">
        <v>6700</v>
      </c>
      <c r="C109" s="2">
        <v>-75</v>
      </c>
      <c r="D109" s="2">
        <v>13</v>
      </c>
      <c r="E109" s="1" t="s">
        <v>20</v>
      </c>
      <c r="F109" s="3">
        <v>2357.4499999999998</v>
      </c>
      <c r="G109" s="3">
        <v>639.15</v>
      </c>
      <c r="H109" s="2">
        <v>125</v>
      </c>
      <c r="I109" s="3">
        <v>2468.6999999999998</v>
      </c>
      <c r="J109" s="3">
        <v>2493.85</v>
      </c>
      <c r="K109" s="2">
        <v>50</v>
      </c>
      <c r="L109" s="1">
        <v>27300</v>
      </c>
      <c r="M109" s="2">
        <v>25</v>
      </c>
      <c r="N109" s="3">
        <v>7.95</v>
      </c>
      <c r="O109" s="3">
        <v>9.1</v>
      </c>
      <c r="P109" s="2">
        <v>500</v>
      </c>
      <c r="Q109" s="1">
        <v>-16.399999999999999</v>
      </c>
      <c r="R109" s="3">
        <v>9</v>
      </c>
      <c r="S109" s="1">
        <v>53.77</v>
      </c>
      <c r="T109" s="2">
        <v>22092</v>
      </c>
      <c r="U109" s="2">
        <v>-23975</v>
      </c>
      <c r="V109" s="2">
        <v>39800</v>
      </c>
      <c r="W109" s="1" t="s">
        <v>19</v>
      </c>
    </row>
    <row r="110" spans="1:23">
      <c r="A110" s="1" t="s">
        <v>19</v>
      </c>
      <c r="B110" s="2">
        <v>7400</v>
      </c>
      <c r="C110" s="2">
        <v>-125</v>
      </c>
      <c r="D110" s="2">
        <v>14</v>
      </c>
      <c r="E110" s="1" t="s">
        <v>20</v>
      </c>
      <c r="F110" s="3">
        <v>2273.9</v>
      </c>
      <c r="G110" s="3">
        <v>654.29999999999995</v>
      </c>
      <c r="H110" s="2">
        <v>100</v>
      </c>
      <c r="I110" s="3">
        <v>2370.0500000000002</v>
      </c>
      <c r="J110" s="3">
        <v>2412.9</v>
      </c>
      <c r="K110" s="2">
        <v>100</v>
      </c>
      <c r="L110" s="1">
        <v>27400</v>
      </c>
      <c r="M110" s="2">
        <v>25</v>
      </c>
      <c r="N110" s="3">
        <v>8.8000000000000007</v>
      </c>
      <c r="O110" s="3">
        <v>9.8000000000000007</v>
      </c>
      <c r="P110" s="2">
        <v>1750</v>
      </c>
      <c r="Q110" s="1">
        <v>-21.1</v>
      </c>
      <c r="R110" s="3">
        <v>9.6</v>
      </c>
      <c r="S110" s="1">
        <v>53.05</v>
      </c>
      <c r="T110" s="2">
        <v>27679</v>
      </c>
      <c r="U110" s="2">
        <v>6200</v>
      </c>
      <c r="V110" s="2">
        <v>61175</v>
      </c>
      <c r="W110" s="1" t="s">
        <v>19</v>
      </c>
    </row>
    <row r="111" spans="1:23">
      <c r="A111" s="1" t="s">
        <v>19</v>
      </c>
      <c r="B111" s="2">
        <v>94650</v>
      </c>
      <c r="C111" s="2">
        <v>-15875</v>
      </c>
      <c r="D111" s="2">
        <v>1012</v>
      </c>
      <c r="E111" s="1" t="s">
        <v>20</v>
      </c>
      <c r="F111" s="3">
        <v>2306.75</v>
      </c>
      <c r="G111" s="3">
        <v>764.3</v>
      </c>
      <c r="H111" s="2">
        <v>25</v>
      </c>
      <c r="I111" s="3">
        <v>2285.65</v>
      </c>
      <c r="J111" s="3">
        <v>2324.15</v>
      </c>
      <c r="K111" s="2">
        <v>125</v>
      </c>
      <c r="L111" s="1">
        <v>27500</v>
      </c>
      <c r="M111" s="2">
        <v>175</v>
      </c>
      <c r="N111" s="3">
        <v>9.6999999999999993</v>
      </c>
      <c r="O111" s="3">
        <v>10.050000000000001</v>
      </c>
      <c r="P111" s="2">
        <v>150</v>
      </c>
      <c r="Q111" s="1">
        <v>-26.8</v>
      </c>
      <c r="R111" s="3">
        <v>9.6999999999999993</v>
      </c>
      <c r="S111" s="1">
        <v>52.31</v>
      </c>
      <c r="T111" s="2">
        <v>180680</v>
      </c>
      <c r="U111" s="2">
        <v>-66500</v>
      </c>
      <c r="V111" s="2">
        <v>608325</v>
      </c>
      <c r="W111" s="1" t="s">
        <v>19</v>
      </c>
    </row>
    <row r="112" spans="1:23">
      <c r="A112" s="1" t="s">
        <v>19</v>
      </c>
      <c r="B112" s="2">
        <v>6850</v>
      </c>
      <c r="C112" s="2">
        <v>-75</v>
      </c>
      <c r="D112" s="2">
        <v>14</v>
      </c>
      <c r="E112" s="1" t="s">
        <v>20</v>
      </c>
      <c r="F112" s="3">
        <v>2169.5</v>
      </c>
      <c r="G112" s="3">
        <v>731.9</v>
      </c>
      <c r="H112" s="2">
        <v>125</v>
      </c>
      <c r="I112" s="3">
        <v>2172.15</v>
      </c>
      <c r="J112" s="3">
        <v>2204.4499999999998</v>
      </c>
      <c r="K112" s="2">
        <v>175</v>
      </c>
      <c r="L112" s="1">
        <v>27600</v>
      </c>
      <c r="M112" s="2">
        <v>175</v>
      </c>
      <c r="N112" s="3">
        <v>9</v>
      </c>
      <c r="O112" s="3">
        <v>11</v>
      </c>
      <c r="P112" s="2">
        <v>50</v>
      </c>
      <c r="Q112" s="1">
        <v>-32.4</v>
      </c>
      <c r="R112" s="3">
        <v>10.95</v>
      </c>
      <c r="S112" s="1">
        <v>51.63</v>
      </c>
      <c r="T112" s="2">
        <v>41134</v>
      </c>
      <c r="U112" s="2">
        <v>5925</v>
      </c>
      <c r="V112" s="2">
        <v>74300</v>
      </c>
      <c r="W112" s="1" t="s">
        <v>19</v>
      </c>
    </row>
    <row r="113" spans="1:23">
      <c r="A113" s="1" t="s">
        <v>19</v>
      </c>
      <c r="B113" s="2">
        <v>3575</v>
      </c>
      <c r="C113" s="2">
        <v>-75</v>
      </c>
      <c r="D113" s="2">
        <v>11</v>
      </c>
      <c r="E113" s="1" t="s">
        <v>20</v>
      </c>
      <c r="F113" s="3">
        <v>2020.65</v>
      </c>
      <c r="G113" s="3">
        <v>645.75</v>
      </c>
      <c r="H113" s="2">
        <v>125</v>
      </c>
      <c r="I113" s="3">
        <v>2082.9499999999998</v>
      </c>
      <c r="J113" s="3">
        <v>2101.15</v>
      </c>
      <c r="K113" s="2">
        <v>100</v>
      </c>
      <c r="L113" s="1">
        <v>27700</v>
      </c>
      <c r="M113" s="2">
        <v>25</v>
      </c>
      <c r="N113" s="3">
        <v>11.7</v>
      </c>
      <c r="O113" s="3">
        <v>12.1</v>
      </c>
      <c r="P113" s="2">
        <v>25</v>
      </c>
      <c r="Q113" s="1">
        <v>-39.5</v>
      </c>
      <c r="R113" s="3">
        <v>11.75</v>
      </c>
      <c r="S113" s="1">
        <v>50.89</v>
      </c>
      <c r="T113" s="2">
        <v>49544</v>
      </c>
      <c r="U113" s="2">
        <v>-15750</v>
      </c>
      <c r="V113" s="2">
        <v>150050</v>
      </c>
      <c r="W113" s="1" t="s">
        <v>19</v>
      </c>
    </row>
    <row r="114" spans="1:23">
      <c r="A114" s="1" t="s">
        <v>19</v>
      </c>
      <c r="B114" s="2">
        <v>11575</v>
      </c>
      <c r="C114" s="2">
        <v>-200</v>
      </c>
      <c r="D114" s="2">
        <v>35</v>
      </c>
      <c r="E114" s="1" t="s">
        <v>20</v>
      </c>
      <c r="F114" s="3">
        <v>2000</v>
      </c>
      <c r="G114" s="3">
        <v>742.1</v>
      </c>
      <c r="H114" s="2">
        <v>125</v>
      </c>
      <c r="I114" s="3">
        <v>1956.8</v>
      </c>
      <c r="J114" s="3">
        <v>2008.4</v>
      </c>
      <c r="K114" s="2">
        <v>300</v>
      </c>
      <c r="L114" s="1">
        <v>27800</v>
      </c>
      <c r="M114" s="2">
        <v>25</v>
      </c>
      <c r="N114" s="3">
        <v>12.5</v>
      </c>
      <c r="O114" s="3">
        <v>13.8</v>
      </c>
      <c r="P114" s="2">
        <v>75</v>
      </c>
      <c r="Q114" s="1">
        <v>-49</v>
      </c>
      <c r="R114" s="3">
        <v>12.5</v>
      </c>
      <c r="S114" s="1">
        <v>50.31</v>
      </c>
      <c r="T114" s="2">
        <v>48682</v>
      </c>
      <c r="U114" s="2">
        <v>9850</v>
      </c>
      <c r="V114" s="2">
        <v>91825</v>
      </c>
      <c r="W114" s="1" t="s">
        <v>19</v>
      </c>
    </row>
    <row r="115" spans="1:23">
      <c r="A115" s="1" t="s">
        <v>19</v>
      </c>
      <c r="B115" s="2">
        <v>5875</v>
      </c>
      <c r="C115" s="2">
        <v>-175</v>
      </c>
      <c r="D115" s="2">
        <v>34</v>
      </c>
      <c r="E115" s="1" t="s">
        <v>20</v>
      </c>
      <c r="F115" s="3">
        <v>1882.85</v>
      </c>
      <c r="G115" s="3">
        <v>711.65</v>
      </c>
      <c r="H115" s="2">
        <v>125</v>
      </c>
      <c r="I115" s="3">
        <v>1858.15</v>
      </c>
      <c r="J115" s="3">
        <v>1904.6</v>
      </c>
      <c r="K115" s="2">
        <v>450</v>
      </c>
      <c r="L115" s="1">
        <v>27900</v>
      </c>
      <c r="M115" s="2">
        <v>25</v>
      </c>
      <c r="N115" s="3">
        <v>13.05</v>
      </c>
      <c r="O115" s="3">
        <v>15.2</v>
      </c>
      <c r="P115" s="2">
        <v>50</v>
      </c>
      <c r="Q115" s="1">
        <v>-58.9</v>
      </c>
      <c r="R115" s="3">
        <v>15.1</v>
      </c>
      <c r="S115" s="1">
        <v>49.81</v>
      </c>
      <c r="T115" s="2">
        <v>49515</v>
      </c>
      <c r="U115" s="2">
        <v>13325</v>
      </c>
      <c r="V115" s="2">
        <v>106450</v>
      </c>
      <c r="W115" s="1" t="s">
        <v>19</v>
      </c>
    </row>
    <row r="116" spans="1:23">
      <c r="A116" s="1" t="s">
        <v>19</v>
      </c>
      <c r="B116" s="2">
        <v>97150</v>
      </c>
      <c r="C116" s="2">
        <v>-8050</v>
      </c>
      <c r="D116" s="2">
        <v>3673</v>
      </c>
      <c r="E116" s="1" t="s">
        <v>20</v>
      </c>
      <c r="F116" s="3">
        <v>1792.65</v>
      </c>
      <c r="G116" s="3">
        <v>672.5</v>
      </c>
      <c r="H116" s="2">
        <v>50</v>
      </c>
      <c r="I116" s="3">
        <v>1792</v>
      </c>
      <c r="J116" s="3">
        <v>1800</v>
      </c>
      <c r="K116" s="2">
        <v>25</v>
      </c>
      <c r="L116" s="1">
        <v>28000</v>
      </c>
      <c r="M116" s="2">
        <v>25</v>
      </c>
      <c r="N116" s="3">
        <v>15.8</v>
      </c>
      <c r="O116" s="3">
        <v>15.95</v>
      </c>
      <c r="P116" s="2">
        <v>25</v>
      </c>
      <c r="Q116" s="1">
        <v>-71.25</v>
      </c>
      <c r="R116" s="3">
        <v>15.95</v>
      </c>
      <c r="S116" s="1">
        <v>49.17</v>
      </c>
      <c r="T116" s="2">
        <v>353900</v>
      </c>
      <c r="U116" s="2">
        <v>-7000</v>
      </c>
      <c r="V116" s="2">
        <v>871275</v>
      </c>
      <c r="W116" s="1" t="s">
        <v>19</v>
      </c>
    </row>
    <row r="117" spans="1:23">
      <c r="A117" s="1" t="s">
        <v>19</v>
      </c>
      <c r="B117" s="2">
        <v>5675</v>
      </c>
      <c r="C117" s="2">
        <v>-1050</v>
      </c>
      <c r="D117" s="2">
        <v>152</v>
      </c>
      <c r="E117" s="1">
        <v>39.549999999999997</v>
      </c>
      <c r="F117" s="3">
        <v>1681.5</v>
      </c>
      <c r="G117" s="3">
        <v>646.9</v>
      </c>
      <c r="H117" s="2">
        <v>125</v>
      </c>
      <c r="I117" s="3">
        <v>1681.45</v>
      </c>
      <c r="J117" s="3">
        <v>1734.85</v>
      </c>
      <c r="K117" s="2">
        <v>325</v>
      </c>
      <c r="L117" s="1">
        <v>28100</v>
      </c>
      <c r="M117" s="2">
        <v>100</v>
      </c>
      <c r="N117" s="3">
        <v>17.95</v>
      </c>
      <c r="O117" s="3">
        <v>19.95</v>
      </c>
      <c r="P117" s="2">
        <v>25</v>
      </c>
      <c r="Q117" s="1">
        <v>-91.2</v>
      </c>
      <c r="R117" s="3">
        <v>11.3</v>
      </c>
      <c r="S117" s="1">
        <v>48.83</v>
      </c>
      <c r="T117" s="2">
        <v>56345</v>
      </c>
      <c r="U117" s="2">
        <v>13150</v>
      </c>
      <c r="V117" s="2">
        <v>110925</v>
      </c>
      <c r="W117" s="1" t="s">
        <v>19</v>
      </c>
    </row>
    <row r="118" spans="1:23">
      <c r="A118" s="1" t="s">
        <v>19</v>
      </c>
      <c r="B118" s="2">
        <v>7475</v>
      </c>
      <c r="C118" s="2">
        <v>-300</v>
      </c>
      <c r="D118" s="2">
        <v>229</v>
      </c>
      <c r="E118" s="1">
        <v>37.78</v>
      </c>
      <c r="F118" s="3">
        <v>1585.95</v>
      </c>
      <c r="G118" s="3">
        <v>659.2</v>
      </c>
      <c r="H118" s="2">
        <v>125</v>
      </c>
      <c r="I118" s="3">
        <v>1590.8</v>
      </c>
      <c r="J118" s="3">
        <v>1609.7</v>
      </c>
      <c r="K118" s="2">
        <v>25</v>
      </c>
      <c r="L118" s="1">
        <v>28200</v>
      </c>
      <c r="M118" s="2">
        <v>50</v>
      </c>
      <c r="N118" s="3">
        <v>21.9</v>
      </c>
      <c r="O118" s="3">
        <v>23</v>
      </c>
      <c r="P118" s="2">
        <v>25</v>
      </c>
      <c r="Q118" s="1">
        <v>-99.85</v>
      </c>
      <c r="R118" s="3">
        <v>22</v>
      </c>
      <c r="S118" s="1">
        <v>48.32</v>
      </c>
      <c r="T118" s="2">
        <v>111176</v>
      </c>
      <c r="U118" s="2">
        <v>59100</v>
      </c>
      <c r="V118" s="2">
        <v>261350</v>
      </c>
      <c r="W118" s="1" t="s">
        <v>19</v>
      </c>
    </row>
    <row r="119" spans="1:23">
      <c r="A119" s="1" t="s">
        <v>19</v>
      </c>
      <c r="B119" s="2">
        <v>11750</v>
      </c>
      <c r="C119" s="2">
        <v>-1050</v>
      </c>
      <c r="D119" s="2">
        <v>643</v>
      </c>
      <c r="E119" s="1">
        <v>40.94</v>
      </c>
      <c r="F119" s="3">
        <v>1500</v>
      </c>
      <c r="G119" s="3">
        <v>670.2</v>
      </c>
      <c r="H119" s="2">
        <v>375</v>
      </c>
      <c r="I119" s="3">
        <v>1487.95</v>
      </c>
      <c r="J119" s="3">
        <v>1517.9</v>
      </c>
      <c r="K119" s="2">
        <v>125</v>
      </c>
      <c r="L119" s="1">
        <v>28300</v>
      </c>
      <c r="M119" s="2">
        <v>50</v>
      </c>
      <c r="N119" s="3">
        <v>24.95</v>
      </c>
      <c r="O119" s="3">
        <v>27.45</v>
      </c>
      <c r="P119" s="2">
        <v>75</v>
      </c>
      <c r="Q119" s="1">
        <v>-115.2</v>
      </c>
      <c r="R119" s="3">
        <v>27.65</v>
      </c>
      <c r="S119" s="1">
        <v>47.83</v>
      </c>
      <c r="T119" s="2">
        <v>117201</v>
      </c>
      <c r="U119" s="2">
        <v>68675</v>
      </c>
      <c r="V119" s="2">
        <v>238975</v>
      </c>
      <c r="W119" s="1" t="s">
        <v>19</v>
      </c>
    </row>
    <row r="120" spans="1:23">
      <c r="A120" s="1" t="s">
        <v>19</v>
      </c>
      <c r="B120" s="2">
        <v>12025</v>
      </c>
      <c r="C120" s="2">
        <v>-6375</v>
      </c>
      <c r="D120" s="2">
        <v>1429</v>
      </c>
      <c r="E120" s="1">
        <v>33.090000000000003</v>
      </c>
      <c r="F120" s="3">
        <v>1405</v>
      </c>
      <c r="G120" s="3">
        <v>627.45000000000005</v>
      </c>
      <c r="H120" s="2">
        <v>125</v>
      </c>
      <c r="I120" s="3">
        <v>1387.65</v>
      </c>
      <c r="J120" s="3">
        <v>1441.05</v>
      </c>
      <c r="K120" s="2">
        <v>125</v>
      </c>
      <c r="L120" s="1">
        <v>28400</v>
      </c>
      <c r="M120" s="2">
        <v>50</v>
      </c>
      <c r="N120" s="3">
        <v>30.05</v>
      </c>
      <c r="O120" s="3">
        <v>32.549999999999997</v>
      </c>
      <c r="P120" s="2">
        <v>25</v>
      </c>
      <c r="Q120" s="1">
        <v>-134.9</v>
      </c>
      <c r="R120" s="3">
        <v>31.5</v>
      </c>
      <c r="S120" s="1">
        <v>47.42</v>
      </c>
      <c r="T120" s="2">
        <v>111716</v>
      </c>
      <c r="U120" s="2">
        <v>15450</v>
      </c>
      <c r="V120" s="2">
        <v>184600</v>
      </c>
      <c r="W120" s="1" t="s">
        <v>19</v>
      </c>
    </row>
    <row r="121" spans="1:23">
      <c r="A121" s="1" t="s">
        <v>19</v>
      </c>
      <c r="B121" s="2">
        <v>168075</v>
      </c>
      <c r="C121" s="2">
        <v>-44375</v>
      </c>
      <c r="D121" s="2">
        <v>11283</v>
      </c>
      <c r="E121" s="1">
        <v>37.06</v>
      </c>
      <c r="F121" s="3">
        <v>1317.15</v>
      </c>
      <c r="G121" s="3">
        <v>614.54999999999995</v>
      </c>
      <c r="H121" s="2">
        <v>25</v>
      </c>
      <c r="I121" s="3">
        <v>1312</v>
      </c>
      <c r="J121" s="3">
        <v>1325.15</v>
      </c>
      <c r="K121" s="2">
        <v>475</v>
      </c>
      <c r="L121" s="1">
        <v>28500</v>
      </c>
      <c r="M121" s="2">
        <v>25</v>
      </c>
      <c r="N121" s="3">
        <v>36.049999999999997</v>
      </c>
      <c r="O121" s="3">
        <v>36.799999999999997</v>
      </c>
      <c r="P121" s="2">
        <v>175</v>
      </c>
      <c r="Q121" s="1">
        <v>-157.25</v>
      </c>
      <c r="R121" s="3">
        <v>36.049999999999997</v>
      </c>
      <c r="S121" s="1">
        <v>47.11</v>
      </c>
      <c r="T121" s="2">
        <v>546339</v>
      </c>
      <c r="U121" s="2">
        <v>-79850</v>
      </c>
      <c r="V121" s="2">
        <v>751725</v>
      </c>
      <c r="W121" s="1" t="s">
        <v>19</v>
      </c>
    </row>
    <row r="122" spans="1:23">
      <c r="A122" s="1" t="s">
        <v>19</v>
      </c>
      <c r="B122" s="2">
        <v>11775</v>
      </c>
      <c r="C122" s="2">
        <v>-5925</v>
      </c>
      <c r="D122" s="2">
        <v>1724</v>
      </c>
      <c r="E122" s="1">
        <v>42.01</v>
      </c>
      <c r="F122" s="3">
        <v>1225.05</v>
      </c>
      <c r="G122" s="3">
        <v>591.4</v>
      </c>
      <c r="H122" s="2">
        <v>25</v>
      </c>
      <c r="I122" s="3">
        <v>1218.05</v>
      </c>
      <c r="J122" s="3">
        <v>1229.9000000000001</v>
      </c>
      <c r="K122" s="2">
        <v>125</v>
      </c>
      <c r="L122" s="1">
        <v>28600</v>
      </c>
      <c r="M122" s="2">
        <v>25</v>
      </c>
      <c r="N122" s="3">
        <v>41.6</v>
      </c>
      <c r="O122" s="3">
        <v>42.4</v>
      </c>
      <c r="P122" s="2">
        <v>100</v>
      </c>
      <c r="Q122" s="1">
        <v>-183.35</v>
      </c>
      <c r="R122" s="3">
        <v>42</v>
      </c>
      <c r="S122" s="1">
        <v>46.66</v>
      </c>
      <c r="T122" s="2">
        <v>176225</v>
      </c>
      <c r="U122" s="2">
        <v>58100</v>
      </c>
      <c r="V122" s="2">
        <v>228125</v>
      </c>
      <c r="W122" s="1" t="s">
        <v>19</v>
      </c>
    </row>
    <row r="123" spans="1:23">
      <c r="A123" s="1" t="s">
        <v>19</v>
      </c>
      <c r="B123" s="2">
        <v>40050</v>
      </c>
      <c r="C123" s="2">
        <v>-9550</v>
      </c>
      <c r="D123" s="2">
        <v>2352</v>
      </c>
      <c r="E123" s="1">
        <v>37.35</v>
      </c>
      <c r="F123" s="3">
        <v>1147.75</v>
      </c>
      <c r="G123" s="3">
        <v>579.54999999999995</v>
      </c>
      <c r="H123" s="2">
        <v>125</v>
      </c>
      <c r="I123" s="3">
        <v>1123.75</v>
      </c>
      <c r="J123" s="3">
        <v>1147.25</v>
      </c>
      <c r="K123" s="2">
        <v>250</v>
      </c>
      <c r="L123" s="1">
        <v>28700</v>
      </c>
      <c r="M123" s="2">
        <v>25</v>
      </c>
      <c r="N123" s="3">
        <v>49.4</v>
      </c>
      <c r="O123" s="3">
        <v>51.95</v>
      </c>
      <c r="P123" s="2">
        <v>25</v>
      </c>
      <c r="Q123" s="1">
        <v>-208.6</v>
      </c>
      <c r="R123" s="3">
        <v>52</v>
      </c>
      <c r="S123" s="1">
        <v>46.38</v>
      </c>
      <c r="T123" s="2">
        <v>263007</v>
      </c>
      <c r="U123" s="2">
        <v>161750</v>
      </c>
      <c r="V123" s="2">
        <v>336125</v>
      </c>
      <c r="W123" s="1" t="s">
        <v>19</v>
      </c>
    </row>
    <row r="124" spans="1:23">
      <c r="A124" s="1" t="s">
        <v>19</v>
      </c>
      <c r="B124" s="2">
        <v>38975</v>
      </c>
      <c r="C124" s="2">
        <v>-12375</v>
      </c>
      <c r="D124" s="2">
        <v>7977</v>
      </c>
      <c r="E124" s="1">
        <v>38.590000000000003</v>
      </c>
      <c r="F124" s="3">
        <v>1035.0999999999999</v>
      </c>
      <c r="G124" s="3">
        <v>516.25</v>
      </c>
      <c r="H124" s="2">
        <v>25</v>
      </c>
      <c r="I124" s="3">
        <v>1035</v>
      </c>
      <c r="J124" s="3">
        <v>1047.9000000000001</v>
      </c>
      <c r="K124" s="2">
        <v>125</v>
      </c>
      <c r="L124" s="1">
        <v>28800</v>
      </c>
      <c r="M124" s="2">
        <v>300</v>
      </c>
      <c r="N124" s="3">
        <v>59.05</v>
      </c>
      <c r="O124" s="3">
        <v>60.95</v>
      </c>
      <c r="P124" s="2">
        <v>50</v>
      </c>
      <c r="Q124" s="1">
        <v>-239.55</v>
      </c>
      <c r="R124" s="3">
        <v>60</v>
      </c>
      <c r="S124" s="1">
        <v>46.15</v>
      </c>
      <c r="T124" s="2">
        <v>317632</v>
      </c>
      <c r="U124" s="2">
        <v>135050</v>
      </c>
      <c r="V124" s="2">
        <v>290750</v>
      </c>
      <c r="W124" s="1" t="s">
        <v>19</v>
      </c>
    </row>
    <row r="125" spans="1:23">
      <c r="A125" s="1" t="s">
        <v>19</v>
      </c>
      <c r="B125" s="2">
        <v>53125</v>
      </c>
      <c r="C125" s="2">
        <v>-37050</v>
      </c>
      <c r="D125" s="2">
        <v>12388</v>
      </c>
      <c r="E125" s="1">
        <v>38.369999999999997</v>
      </c>
      <c r="F125" s="3">
        <v>947.45</v>
      </c>
      <c r="G125" s="3">
        <v>489.2</v>
      </c>
      <c r="H125" s="2">
        <v>375</v>
      </c>
      <c r="I125" s="3">
        <v>943.05</v>
      </c>
      <c r="J125" s="3">
        <v>959.2</v>
      </c>
      <c r="K125" s="2">
        <v>125</v>
      </c>
      <c r="L125" s="1">
        <v>28900</v>
      </c>
      <c r="M125" s="2">
        <v>25</v>
      </c>
      <c r="N125" s="3">
        <v>72</v>
      </c>
      <c r="O125" s="3">
        <v>72.650000000000006</v>
      </c>
      <c r="P125" s="2">
        <v>75</v>
      </c>
      <c r="Q125" s="1">
        <v>-272.7</v>
      </c>
      <c r="R125" s="3">
        <v>71.45</v>
      </c>
      <c r="S125" s="1">
        <v>46.11</v>
      </c>
      <c r="T125" s="2">
        <v>270672</v>
      </c>
      <c r="U125" s="2">
        <v>98775</v>
      </c>
      <c r="V125" s="2">
        <v>240275</v>
      </c>
      <c r="W125" s="1" t="s">
        <v>19</v>
      </c>
    </row>
    <row r="126" spans="1:23">
      <c r="A126" s="1" t="s">
        <v>19</v>
      </c>
      <c r="B126" s="2">
        <v>569100</v>
      </c>
      <c r="C126" s="2">
        <v>-211925</v>
      </c>
      <c r="D126" s="2">
        <v>163006</v>
      </c>
      <c r="E126" s="1">
        <v>39.090000000000003</v>
      </c>
      <c r="F126" s="3">
        <v>863.2</v>
      </c>
      <c r="G126" s="3">
        <v>455.75</v>
      </c>
      <c r="H126" s="2">
        <v>50</v>
      </c>
      <c r="I126" s="3">
        <v>863.15</v>
      </c>
      <c r="J126" s="3">
        <v>868</v>
      </c>
      <c r="K126" s="2">
        <v>25</v>
      </c>
      <c r="L126" s="1">
        <v>29000</v>
      </c>
      <c r="M126" s="2">
        <v>75</v>
      </c>
      <c r="N126" s="3">
        <v>85.15</v>
      </c>
      <c r="O126" s="3">
        <v>87</v>
      </c>
      <c r="P126" s="2">
        <v>150</v>
      </c>
      <c r="Q126" s="1">
        <v>-304.75</v>
      </c>
      <c r="R126" s="3">
        <v>85.2</v>
      </c>
      <c r="S126" s="1">
        <v>46.22</v>
      </c>
      <c r="T126" s="2">
        <v>898959</v>
      </c>
      <c r="U126" s="2">
        <v>419275</v>
      </c>
      <c r="V126" s="2">
        <v>1222050</v>
      </c>
      <c r="W126" s="1" t="s">
        <v>19</v>
      </c>
    </row>
    <row r="127" spans="1:23">
      <c r="A127" s="1" t="s">
        <v>19</v>
      </c>
      <c r="B127" s="2">
        <v>58200</v>
      </c>
      <c r="C127" s="2">
        <v>-89500</v>
      </c>
      <c r="D127" s="2">
        <v>43786</v>
      </c>
      <c r="E127" s="1">
        <v>39.11</v>
      </c>
      <c r="F127" s="3">
        <v>784.95</v>
      </c>
      <c r="G127" s="3">
        <v>423</v>
      </c>
      <c r="H127" s="2">
        <v>25</v>
      </c>
      <c r="I127" s="3">
        <v>784</v>
      </c>
      <c r="J127" s="3">
        <v>788.75</v>
      </c>
      <c r="K127" s="2">
        <v>125</v>
      </c>
      <c r="L127" s="1">
        <v>29100</v>
      </c>
      <c r="M127" s="2">
        <v>50</v>
      </c>
      <c r="N127" s="3">
        <v>102.15</v>
      </c>
      <c r="O127" s="3">
        <v>104</v>
      </c>
      <c r="P127" s="2">
        <v>25</v>
      </c>
      <c r="Q127" s="1">
        <v>-338.25</v>
      </c>
      <c r="R127" s="3">
        <v>102</v>
      </c>
      <c r="S127" s="1">
        <v>46.25</v>
      </c>
      <c r="T127" s="2">
        <v>277659</v>
      </c>
      <c r="U127" s="2">
        <v>169750</v>
      </c>
      <c r="V127" s="2">
        <v>247725</v>
      </c>
      <c r="W127" s="1" t="s">
        <v>19</v>
      </c>
    </row>
    <row r="128" spans="1:23">
      <c r="A128" s="1" t="s">
        <v>19</v>
      </c>
      <c r="B128" s="2">
        <v>111725</v>
      </c>
      <c r="C128" s="2">
        <v>-153650</v>
      </c>
      <c r="D128" s="2">
        <v>110672</v>
      </c>
      <c r="E128" s="1">
        <v>39.619999999999997</v>
      </c>
      <c r="F128" s="3">
        <v>704.4</v>
      </c>
      <c r="G128" s="3">
        <v>385.5</v>
      </c>
      <c r="H128" s="2">
        <v>25</v>
      </c>
      <c r="I128" s="3">
        <v>699.5</v>
      </c>
      <c r="J128" s="3">
        <v>704.4</v>
      </c>
      <c r="K128" s="2">
        <v>25</v>
      </c>
      <c r="L128" s="1">
        <v>29200</v>
      </c>
      <c r="M128" s="2">
        <v>25</v>
      </c>
      <c r="N128" s="3">
        <v>122.1</v>
      </c>
      <c r="O128" s="3">
        <v>124.9</v>
      </c>
      <c r="P128" s="2">
        <v>325</v>
      </c>
      <c r="Q128" s="1">
        <v>-373.2</v>
      </c>
      <c r="R128" s="3">
        <v>124.9</v>
      </c>
      <c r="S128" s="1">
        <v>46.03</v>
      </c>
      <c r="T128" s="2">
        <v>357615</v>
      </c>
      <c r="U128" s="2">
        <v>229500</v>
      </c>
      <c r="V128" s="2">
        <v>322300</v>
      </c>
      <c r="W128" s="1" t="s">
        <v>19</v>
      </c>
    </row>
    <row r="129" spans="1:23">
      <c r="A129" s="1" t="s">
        <v>19</v>
      </c>
      <c r="B129" s="2">
        <v>106800</v>
      </c>
      <c r="C129" s="2">
        <v>-204700</v>
      </c>
      <c r="D129" s="2">
        <v>203538</v>
      </c>
      <c r="E129" s="1">
        <v>39.659999999999997</v>
      </c>
      <c r="F129" s="3">
        <v>629.95000000000005</v>
      </c>
      <c r="G129" s="3">
        <v>352.9</v>
      </c>
      <c r="H129" s="2">
        <v>150</v>
      </c>
      <c r="I129" s="3">
        <v>624.4</v>
      </c>
      <c r="J129" s="3">
        <v>629.95000000000005</v>
      </c>
      <c r="K129" s="2">
        <v>25</v>
      </c>
      <c r="L129" s="1">
        <v>29300</v>
      </c>
      <c r="M129" s="2">
        <v>50</v>
      </c>
      <c r="N129" s="3">
        <v>146.30000000000001</v>
      </c>
      <c r="O129" s="3">
        <v>148</v>
      </c>
      <c r="P129" s="2">
        <v>25</v>
      </c>
      <c r="Q129" s="1">
        <v>-414.15</v>
      </c>
      <c r="R129" s="3">
        <v>148</v>
      </c>
      <c r="S129" s="1">
        <v>46.06</v>
      </c>
      <c r="T129" s="2">
        <v>356680</v>
      </c>
      <c r="U129" s="2">
        <v>201125</v>
      </c>
      <c r="V129" s="2">
        <v>309700</v>
      </c>
      <c r="W129" s="1" t="s">
        <v>19</v>
      </c>
    </row>
    <row r="130" spans="1:23">
      <c r="A130" s="1" t="s">
        <v>19</v>
      </c>
      <c r="B130" s="2">
        <v>113975</v>
      </c>
      <c r="C130" s="2">
        <v>-215525</v>
      </c>
      <c r="D130" s="2">
        <v>260389</v>
      </c>
      <c r="E130" s="1">
        <v>39.69</v>
      </c>
      <c r="F130" s="3">
        <v>556.35</v>
      </c>
      <c r="G130" s="3">
        <v>315.89999999999998</v>
      </c>
      <c r="H130" s="2">
        <v>1050</v>
      </c>
      <c r="I130" s="3">
        <v>556.35</v>
      </c>
      <c r="J130" s="3">
        <v>557.85</v>
      </c>
      <c r="K130" s="2">
        <v>25</v>
      </c>
      <c r="L130" s="1">
        <v>29400</v>
      </c>
      <c r="M130" s="2">
        <v>175</v>
      </c>
      <c r="N130" s="3">
        <v>175.2</v>
      </c>
      <c r="O130" s="3">
        <v>176.95</v>
      </c>
      <c r="P130" s="2">
        <v>50</v>
      </c>
      <c r="Q130" s="1">
        <v>-449.3</v>
      </c>
      <c r="R130" s="3">
        <v>175.2</v>
      </c>
      <c r="S130" s="1">
        <v>46.09</v>
      </c>
      <c r="T130" s="2">
        <v>312685</v>
      </c>
      <c r="U130" s="2">
        <v>177225</v>
      </c>
      <c r="V130" s="2">
        <v>254350</v>
      </c>
      <c r="W130" s="1" t="s">
        <v>19</v>
      </c>
    </row>
    <row r="131" spans="1:23">
      <c r="A131" s="1" t="s">
        <v>19</v>
      </c>
      <c r="B131" s="2">
        <v>687050</v>
      </c>
      <c r="C131" s="2">
        <v>-527675</v>
      </c>
      <c r="D131" s="2">
        <v>894049</v>
      </c>
      <c r="E131" s="1">
        <v>39.69</v>
      </c>
      <c r="F131" s="3">
        <v>485.05</v>
      </c>
      <c r="G131" s="3">
        <v>277.89999999999998</v>
      </c>
      <c r="H131" s="2">
        <v>25</v>
      </c>
      <c r="I131" s="3">
        <v>486</v>
      </c>
      <c r="J131" s="3">
        <v>489.1</v>
      </c>
      <c r="K131" s="2">
        <v>100</v>
      </c>
      <c r="L131" s="1">
        <v>29500</v>
      </c>
      <c r="M131" s="2">
        <v>125</v>
      </c>
      <c r="N131" s="3">
        <v>205.2</v>
      </c>
      <c r="O131" s="3">
        <v>209.75</v>
      </c>
      <c r="P131" s="2">
        <v>75</v>
      </c>
      <c r="Q131" s="1">
        <v>-487.5</v>
      </c>
      <c r="R131" s="3">
        <v>205.05</v>
      </c>
      <c r="S131" s="1">
        <v>46.28</v>
      </c>
      <c r="T131" s="2">
        <v>607899</v>
      </c>
      <c r="U131" s="2">
        <v>349600</v>
      </c>
      <c r="V131" s="2">
        <v>565725</v>
      </c>
      <c r="W131" s="1" t="s">
        <v>19</v>
      </c>
    </row>
    <row r="132" spans="1:23">
      <c r="A132" s="1" t="s">
        <v>19</v>
      </c>
      <c r="B132" s="2">
        <v>183725</v>
      </c>
      <c r="C132" s="2">
        <v>-160200</v>
      </c>
      <c r="D132" s="2">
        <v>445762</v>
      </c>
      <c r="E132" s="1">
        <v>39.950000000000003</v>
      </c>
      <c r="F132" s="3">
        <v>428</v>
      </c>
      <c r="G132" s="3">
        <v>250</v>
      </c>
      <c r="H132" s="2">
        <v>1900</v>
      </c>
      <c r="I132" s="3">
        <v>425</v>
      </c>
      <c r="J132" s="3">
        <v>427.75</v>
      </c>
      <c r="K132" s="2">
        <v>50</v>
      </c>
      <c r="L132" s="1">
        <v>29600</v>
      </c>
      <c r="M132" s="2">
        <v>25</v>
      </c>
      <c r="N132" s="3">
        <v>245</v>
      </c>
      <c r="O132" s="3">
        <v>247</v>
      </c>
      <c r="P132" s="2">
        <v>175</v>
      </c>
      <c r="Q132" s="1">
        <v>-521.15</v>
      </c>
      <c r="R132" s="3">
        <v>246</v>
      </c>
      <c r="S132" s="1">
        <v>46.5</v>
      </c>
      <c r="T132" s="2">
        <v>176827</v>
      </c>
      <c r="U132" s="2">
        <v>131050</v>
      </c>
      <c r="V132" s="2">
        <v>153200</v>
      </c>
      <c r="W132" s="1" t="s">
        <v>19</v>
      </c>
    </row>
    <row r="133" spans="1:23">
      <c r="A133" s="1" t="s">
        <v>19</v>
      </c>
      <c r="B133" s="2">
        <v>312450</v>
      </c>
      <c r="C133" s="2">
        <v>4425</v>
      </c>
      <c r="D133" s="2">
        <v>412557</v>
      </c>
      <c r="E133" s="1">
        <v>40.04</v>
      </c>
      <c r="F133" s="3">
        <v>368</v>
      </c>
      <c r="G133" s="3">
        <v>215.25</v>
      </c>
      <c r="H133" s="2">
        <v>125</v>
      </c>
      <c r="I133" s="3">
        <v>365.35</v>
      </c>
      <c r="J133" s="3">
        <v>368</v>
      </c>
      <c r="K133" s="2">
        <v>175</v>
      </c>
      <c r="L133" s="1">
        <v>29700</v>
      </c>
      <c r="M133" s="2">
        <v>1075</v>
      </c>
      <c r="N133" s="3">
        <v>285</v>
      </c>
      <c r="O133" s="3">
        <v>288.45</v>
      </c>
      <c r="P133" s="2">
        <v>75</v>
      </c>
      <c r="Q133" s="1">
        <v>-547.29999999999995</v>
      </c>
      <c r="R133" s="3">
        <v>288.45</v>
      </c>
      <c r="S133" s="1">
        <v>46.81</v>
      </c>
      <c r="T133" s="2">
        <v>93821</v>
      </c>
      <c r="U133" s="2">
        <v>146300</v>
      </c>
      <c r="V133" s="2">
        <v>163650</v>
      </c>
      <c r="W133" s="1" t="s">
        <v>19</v>
      </c>
    </row>
    <row r="134" spans="1:23">
      <c r="A134" s="1" t="s">
        <v>19</v>
      </c>
      <c r="B134" s="2">
        <v>324300</v>
      </c>
      <c r="C134" s="2">
        <v>-54525</v>
      </c>
      <c r="D134" s="2">
        <v>432904</v>
      </c>
      <c r="E134" s="1">
        <v>40</v>
      </c>
      <c r="F134" s="3">
        <v>314.95</v>
      </c>
      <c r="G134" s="3">
        <v>184.75</v>
      </c>
      <c r="H134" s="2">
        <v>25</v>
      </c>
      <c r="I134" s="3">
        <v>311.05</v>
      </c>
      <c r="J134" s="3">
        <v>314.95</v>
      </c>
      <c r="K134" s="2">
        <v>25</v>
      </c>
      <c r="L134" s="1">
        <v>29800</v>
      </c>
      <c r="M134" s="2">
        <v>25</v>
      </c>
      <c r="N134" s="3">
        <v>330.15</v>
      </c>
      <c r="O134" s="3">
        <v>331</v>
      </c>
      <c r="P134" s="2">
        <v>25</v>
      </c>
      <c r="Q134" s="1">
        <v>-589.54999999999995</v>
      </c>
      <c r="R134" s="3">
        <v>331</v>
      </c>
      <c r="S134" s="1">
        <v>46.56</v>
      </c>
      <c r="T134" s="2">
        <v>30350</v>
      </c>
      <c r="U134" s="2">
        <v>48825</v>
      </c>
      <c r="V134" s="2">
        <v>55950</v>
      </c>
      <c r="W134" s="1" t="s">
        <v>19</v>
      </c>
    </row>
    <row r="135" spans="1:23">
      <c r="A135" s="1" t="s">
        <v>19</v>
      </c>
      <c r="B135" s="2">
        <v>169025</v>
      </c>
      <c r="C135" s="2">
        <v>-148350</v>
      </c>
      <c r="D135" s="2">
        <v>288562</v>
      </c>
      <c r="E135" s="1">
        <v>40.14</v>
      </c>
      <c r="F135" s="3">
        <v>264.8</v>
      </c>
      <c r="G135" s="3">
        <v>154.80000000000001</v>
      </c>
      <c r="H135" s="2">
        <v>175</v>
      </c>
      <c r="I135" s="3">
        <v>262.2</v>
      </c>
      <c r="J135" s="3">
        <v>265.60000000000002</v>
      </c>
      <c r="K135" s="2">
        <v>75</v>
      </c>
      <c r="L135" s="1">
        <v>29900</v>
      </c>
      <c r="M135" s="2">
        <v>50</v>
      </c>
      <c r="N135" s="3">
        <v>383</v>
      </c>
      <c r="O135" s="3">
        <v>388</v>
      </c>
      <c r="P135" s="2">
        <v>25</v>
      </c>
      <c r="Q135" s="1">
        <v>-618.29999999999995</v>
      </c>
      <c r="R135" s="3">
        <v>382.3</v>
      </c>
      <c r="S135" s="1">
        <v>47.45</v>
      </c>
      <c r="T135" s="2">
        <v>8291</v>
      </c>
      <c r="U135" s="2">
        <v>8525</v>
      </c>
      <c r="V135" s="2">
        <v>14075</v>
      </c>
      <c r="W135" s="1" t="s">
        <v>19</v>
      </c>
    </row>
    <row r="136" spans="1:23">
      <c r="A136" s="1" t="s">
        <v>19</v>
      </c>
      <c r="B136" s="2">
        <v>1016225</v>
      </c>
      <c r="C136" s="2">
        <v>-190325</v>
      </c>
      <c r="D136" s="2">
        <v>1057739</v>
      </c>
      <c r="E136" s="1">
        <v>40.11</v>
      </c>
      <c r="F136" s="3">
        <v>218</v>
      </c>
      <c r="G136" s="3">
        <v>124.85</v>
      </c>
      <c r="H136" s="2">
        <v>175</v>
      </c>
      <c r="I136" s="3">
        <v>218</v>
      </c>
      <c r="J136" s="3">
        <v>219.95</v>
      </c>
      <c r="K136" s="2">
        <v>75</v>
      </c>
      <c r="L136" s="1">
        <v>30000</v>
      </c>
      <c r="M136" s="2">
        <v>25</v>
      </c>
      <c r="N136" s="3">
        <v>435</v>
      </c>
      <c r="O136" s="3">
        <v>439.95</v>
      </c>
      <c r="P136" s="2">
        <v>25</v>
      </c>
      <c r="Q136" s="1">
        <v>-648.5</v>
      </c>
      <c r="R136" s="3">
        <v>435</v>
      </c>
      <c r="S136" s="1">
        <v>47.86</v>
      </c>
      <c r="T136" s="2">
        <v>37764</v>
      </c>
      <c r="U136" s="2">
        <v>88725</v>
      </c>
      <c r="V136" s="2">
        <v>143600</v>
      </c>
      <c r="W136" s="1" t="s">
        <v>19</v>
      </c>
    </row>
    <row r="137" spans="1:23">
      <c r="A137" s="1" t="s">
        <v>19</v>
      </c>
      <c r="B137" s="2">
        <v>200775</v>
      </c>
      <c r="C137" s="2">
        <v>15775</v>
      </c>
      <c r="D137" s="2">
        <v>241039</v>
      </c>
      <c r="E137" s="1">
        <v>40.33</v>
      </c>
      <c r="F137" s="3">
        <v>179.95</v>
      </c>
      <c r="G137" s="3">
        <v>100.9</v>
      </c>
      <c r="H137" s="2">
        <v>75</v>
      </c>
      <c r="I137" s="3">
        <v>178.2</v>
      </c>
      <c r="J137" s="3">
        <v>180</v>
      </c>
      <c r="K137" s="2">
        <v>525</v>
      </c>
      <c r="L137" s="1">
        <v>30100</v>
      </c>
      <c r="M137" s="2">
        <v>50</v>
      </c>
      <c r="N137" s="3">
        <v>500.05</v>
      </c>
      <c r="O137" s="3">
        <v>507.3</v>
      </c>
      <c r="P137" s="2">
        <v>125</v>
      </c>
      <c r="Q137" s="1">
        <v>-667.7</v>
      </c>
      <c r="R137" s="3">
        <v>500.05</v>
      </c>
      <c r="S137" s="1">
        <v>48.16</v>
      </c>
      <c r="T137" s="2">
        <v>1713</v>
      </c>
      <c r="U137" s="2">
        <v>5725</v>
      </c>
      <c r="V137" s="2">
        <v>10350</v>
      </c>
      <c r="W137" s="1" t="s">
        <v>19</v>
      </c>
    </row>
    <row r="138" spans="1:23">
      <c r="A138" s="1" t="s">
        <v>19</v>
      </c>
      <c r="B138" s="2">
        <v>271150</v>
      </c>
      <c r="C138" s="2">
        <v>62725</v>
      </c>
      <c r="D138" s="2">
        <v>283480</v>
      </c>
      <c r="E138" s="1">
        <v>40.64</v>
      </c>
      <c r="F138" s="3">
        <v>145.05000000000001</v>
      </c>
      <c r="G138" s="3">
        <v>79.5</v>
      </c>
      <c r="H138" s="2">
        <v>50</v>
      </c>
      <c r="I138" s="3">
        <v>144.44999999999999</v>
      </c>
      <c r="J138" s="3">
        <v>148.35</v>
      </c>
      <c r="K138" s="2">
        <v>50</v>
      </c>
      <c r="L138" s="1">
        <v>30200</v>
      </c>
      <c r="M138" s="2">
        <v>25</v>
      </c>
      <c r="N138" s="3">
        <v>556.54999999999995</v>
      </c>
      <c r="O138" s="3">
        <v>580.85</v>
      </c>
      <c r="P138" s="2">
        <v>200</v>
      </c>
      <c r="Q138" s="1">
        <v>-685.55</v>
      </c>
      <c r="R138" s="3">
        <v>571.95000000000005</v>
      </c>
      <c r="S138" s="1">
        <v>53.37</v>
      </c>
      <c r="T138" s="2">
        <v>1247</v>
      </c>
      <c r="U138" s="2">
        <v>6500</v>
      </c>
      <c r="V138" s="2">
        <v>7425</v>
      </c>
      <c r="W138" s="1" t="s">
        <v>19</v>
      </c>
    </row>
    <row r="139" spans="1:23">
      <c r="A139" s="1" t="s">
        <v>19</v>
      </c>
      <c r="B139" s="2">
        <v>217925</v>
      </c>
      <c r="C139" s="2">
        <v>80350</v>
      </c>
      <c r="D139" s="2">
        <v>178372</v>
      </c>
      <c r="E139" s="1">
        <v>40.590000000000003</v>
      </c>
      <c r="F139" s="3">
        <v>116.1</v>
      </c>
      <c r="G139" s="3">
        <v>60.8</v>
      </c>
      <c r="H139" s="2">
        <v>875</v>
      </c>
      <c r="I139" s="3">
        <v>116.1</v>
      </c>
      <c r="J139" s="3">
        <v>116.9</v>
      </c>
      <c r="K139" s="2">
        <v>50</v>
      </c>
      <c r="L139" s="1">
        <v>30300</v>
      </c>
      <c r="M139" s="2">
        <v>325</v>
      </c>
      <c r="N139" s="3">
        <v>628.15</v>
      </c>
      <c r="O139" s="3">
        <v>641.6</v>
      </c>
      <c r="P139" s="2">
        <v>125</v>
      </c>
      <c r="Q139" s="1">
        <v>-698.45</v>
      </c>
      <c r="R139" s="3">
        <v>643.35</v>
      </c>
      <c r="S139" s="1">
        <v>47.88</v>
      </c>
      <c r="T139" s="2">
        <v>838</v>
      </c>
      <c r="U139" s="2">
        <v>4450</v>
      </c>
      <c r="V139" s="2">
        <v>5225</v>
      </c>
      <c r="W139" s="1" t="s">
        <v>19</v>
      </c>
    </row>
    <row r="140" spans="1:23">
      <c r="A140" s="1" t="s">
        <v>19</v>
      </c>
      <c r="B140" s="2">
        <v>197675</v>
      </c>
      <c r="C140" s="2">
        <v>82575</v>
      </c>
      <c r="D140" s="2">
        <v>136567</v>
      </c>
      <c r="E140" s="1">
        <v>40.78</v>
      </c>
      <c r="F140" s="3">
        <v>94</v>
      </c>
      <c r="G140" s="3">
        <v>48.05</v>
      </c>
      <c r="H140" s="2">
        <v>25</v>
      </c>
      <c r="I140" s="3">
        <v>90.5</v>
      </c>
      <c r="J140" s="3">
        <v>94</v>
      </c>
      <c r="K140" s="2">
        <v>50</v>
      </c>
      <c r="L140" s="1">
        <v>30400</v>
      </c>
      <c r="M140" s="2">
        <v>200</v>
      </c>
      <c r="N140" s="3">
        <v>702.25</v>
      </c>
      <c r="O140" s="3">
        <v>730.1</v>
      </c>
      <c r="P140" s="2">
        <v>250</v>
      </c>
      <c r="Q140" s="1">
        <v>-715.55</v>
      </c>
      <c r="R140" s="3">
        <v>722.55</v>
      </c>
      <c r="S140" s="1">
        <v>54.14</v>
      </c>
      <c r="T140" s="2">
        <v>356</v>
      </c>
      <c r="U140" s="2">
        <v>2075</v>
      </c>
      <c r="V140" s="2">
        <v>2350</v>
      </c>
      <c r="W140" s="1" t="s">
        <v>19</v>
      </c>
    </row>
    <row r="141" spans="1:23">
      <c r="A141" s="1" t="s">
        <v>19</v>
      </c>
      <c r="B141" s="2">
        <v>683275</v>
      </c>
      <c r="C141" s="2">
        <v>-124800</v>
      </c>
      <c r="D141" s="2">
        <v>482325</v>
      </c>
      <c r="E141" s="1">
        <v>41.07</v>
      </c>
      <c r="F141" s="3">
        <v>71.5</v>
      </c>
      <c r="G141" s="3">
        <v>32.6</v>
      </c>
      <c r="H141" s="2">
        <v>25</v>
      </c>
      <c r="I141" s="3">
        <v>70.95</v>
      </c>
      <c r="J141" s="3">
        <v>71.5</v>
      </c>
      <c r="K141" s="2">
        <v>100</v>
      </c>
      <c r="L141" s="1">
        <v>30500</v>
      </c>
      <c r="M141" s="2">
        <v>25</v>
      </c>
      <c r="N141" s="3">
        <v>783.4</v>
      </c>
      <c r="O141" s="3">
        <v>797.2</v>
      </c>
      <c r="P141" s="2">
        <v>125</v>
      </c>
      <c r="Q141" s="1">
        <v>-735.4</v>
      </c>
      <c r="R141" s="3">
        <v>793.25</v>
      </c>
      <c r="S141" s="1">
        <v>46.17</v>
      </c>
      <c r="T141" s="2">
        <v>2708</v>
      </c>
      <c r="U141" s="2">
        <v>9050</v>
      </c>
      <c r="V141" s="2">
        <v>17800</v>
      </c>
      <c r="W141" s="1" t="s">
        <v>19</v>
      </c>
    </row>
    <row r="142" spans="1:23">
      <c r="A142" s="1" t="s">
        <v>19</v>
      </c>
      <c r="B142" s="2">
        <v>138600</v>
      </c>
      <c r="C142" s="2">
        <v>16425</v>
      </c>
      <c r="D142" s="2">
        <v>89791</v>
      </c>
      <c r="E142" s="1">
        <v>41.35</v>
      </c>
      <c r="F142" s="3">
        <v>53.05</v>
      </c>
      <c r="G142" s="3">
        <v>20.45</v>
      </c>
      <c r="H142" s="2">
        <v>25</v>
      </c>
      <c r="I142" s="3">
        <v>53.05</v>
      </c>
      <c r="J142" s="3">
        <v>56.85</v>
      </c>
      <c r="K142" s="2">
        <v>25</v>
      </c>
      <c r="L142" s="1">
        <v>30600</v>
      </c>
      <c r="M142" s="2">
        <v>125</v>
      </c>
      <c r="N142" s="3">
        <v>861.15</v>
      </c>
      <c r="O142" s="3">
        <v>916</v>
      </c>
      <c r="P142" s="2">
        <v>150</v>
      </c>
      <c r="Q142" s="1">
        <v>-785.85</v>
      </c>
      <c r="R142" s="3">
        <v>883.65</v>
      </c>
      <c r="S142" s="1" t="s">
        <v>20</v>
      </c>
      <c r="T142" s="2">
        <v>118</v>
      </c>
      <c r="U142" s="2">
        <v>1600</v>
      </c>
      <c r="V142" s="2">
        <v>1725</v>
      </c>
      <c r="W142" s="1" t="s">
        <v>19</v>
      </c>
    </row>
    <row r="143" spans="1:23">
      <c r="A143" s="1" t="s">
        <v>19</v>
      </c>
      <c r="B143" s="2">
        <v>190125</v>
      </c>
      <c r="C143" s="2">
        <v>7225</v>
      </c>
      <c r="D143" s="2">
        <v>76739</v>
      </c>
      <c r="E143" s="1">
        <v>41.66</v>
      </c>
      <c r="F143" s="3">
        <v>40.299999999999997</v>
      </c>
      <c r="G143" s="3">
        <v>13.1</v>
      </c>
      <c r="H143" s="2">
        <v>25</v>
      </c>
      <c r="I143" s="3">
        <v>40</v>
      </c>
      <c r="J143" s="3">
        <v>41.85</v>
      </c>
      <c r="K143" s="2">
        <v>25</v>
      </c>
      <c r="L143" s="1">
        <v>30700</v>
      </c>
      <c r="M143" s="2">
        <v>150</v>
      </c>
      <c r="N143" s="3">
        <v>814.45</v>
      </c>
      <c r="O143" s="3">
        <v>974.2</v>
      </c>
      <c r="P143" s="2">
        <v>125</v>
      </c>
      <c r="Q143" s="3">
        <v>-790.85</v>
      </c>
      <c r="R143" s="3">
        <v>970.8</v>
      </c>
      <c r="S143" s="1" t="s">
        <v>20</v>
      </c>
      <c r="T143" s="2">
        <v>23</v>
      </c>
      <c r="U143" s="2">
        <v>150</v>
      </c>
      <c r="V143" s="2">
        <v>275</v>
      </c>
      <c r="W143" s="1" t="s">
        <v>19</v>
      </c>
    </row>
    <row r="144" spans="1:23">
      <c r="A144" s="1" t="s">
        <v>19</v>
      </c>
      <c r="B144" s="2">
        <v>166025</v>
      </c>
      <c r="C144" s="2">
        <v>63650</v>
      </c>
      <c r="D144" s="2">
        <v>66477</v>
      </c>
      <c r="E144" s="1">
        <v>42.18</v>
      </c>
      <c r="F144" s="3">
        <v>30.5</v>
      </c>
      <c r="G144" s="3">
        <v>7.1</v>
      </c>
      <c r="H144" s="2">
        <v>25</v>
      </c>
      <c r="I144" s="3">
        <v>30.4</v>
      </c>
      <c r="J144" s="3">
        <v>30.5</v>
      </c>
      <c r="K144" s="2">
        <v>300</v>
      </c>
      <c r="L144" s="1">
        <v>30800</v>
      </c>
      <c r="M144" s="2">
        <v>150</v>
      </c>
      <c r="N144" s="3">
        <v>995.75</v>
      </c>
      <c r="O144" s="3">
        <v>1075.25</v>
      </c>
      <c r="P144" s="2">
        <v>125</v>
      </c>
      <c r="Q144" s="1">
        <v>-795.7</v>
      </c>
      <c r="R144" s="3">
        <v>1065.5999999999999</v>
      </c>
      <c r="S144" s="1" t="s">
        <v>20</v>
      </c>
      <c r="T144" s="2">
        <v>40</v>
      </c>
      <c r="U144" s="2">
        <v>650</v>
      </c>
      <c r="V144" s="2">
        <v>750</v>
      </c>
      <c r="W144" s="1" t="s">
        <v>19</v>
      </c>
    </row>
    <row r="145" spans="1:23">
      <c r="A145" s="1" t="s">
        <v>19</v>
      </c>
      <c r="B145" s="2">
        <v>95225</v>
      </c>
      <c r="C145" s="2">
        <v>14400</v>
      </c>
      <c r="D145" s="2">
        <v>49624</v>
      </c>
      <c r="E145" s="1">
        <v>42.99</v>
      </c>
      <c r="F145" s="3">
        <v>23</v>
      </c>
      <c r="G145" s="3">
        <v>2.95</v>
      </c>
      <c r="H145" s="2">
        <v>25</v>
      </c>
      <c r="I145" s="3">
        <v>23</v>
      </c>
      <c r="J145" s="3">
        <v>24.95</v>
      </c>
      <c r="K145" s="2">
        <v>25</v>
      </c>
      <c r="L145" s="1">
        <v>30900</v>
      </c>
      <c r="M145" s="2">
        <v>125</v>
      </c>
      <c r="N145" s="3">
        <v>1087.3</v>
      </c>
      <c r="O145" s="3">
        <v>1189.45</v>
      </c>
      <c r="P145" s="2">
        <v>125</v>
      </c>
      <c r="Q145" s="1" t="s">
        <v>20</v>
      </c>
      <c r="R145" s="3" t="s">
        <v>20</v>
      </c>
      <c r="S145" s="1" t="s">
        <v>20</v>
      </c>
      <c r="T145" s="2" t="s">
        <v>20</v>
      </c>
      <c r="U145" s="2" t="s">
        <v>20</v>
      </c>
      <c r="V145" s="2">
        <v>50</v>
      </c>
      <c r="W145" s="1" t="s">
        <v>19</v>
      </c>
    </row>
    <row r="146" spans="1:23">
      <c r="A146" s="1" t="s">
        <v>19</v>
      </c>
      <c r="B146" s="2">
        <v>578275</v>
      </c>
      <c r="C146" s="2">
        <v>-196425</v>
      </c>
      <c r="D146" s="2">
        <v>246411</v>
      </c>
      <c r="E146" s="1">
        <v>43.7</v>
      </c>
      <c r="F146" s="3">
        <v>17.149999999999999</v>
      </c>
      <c r="G146" s="3">
        <v>-0.45</v>
      </c>
      <c r="H146" s="2">
        <v>150</v>
      </c>
      <c r="I146" s="3">
        <v>17.149999999999999</v>
      </c>
      <c r="J146" s="3">
        <v>17.5</v>
      </c>
      <c r="K146" s="2">
        <v>475</v>
      </c>
      <c r="L146" s="1">
        <v>31000</v>
      </c>
      <c r="M146" s="2">
        <v>150</v>
      </c>
      <c r="N146" s="3">
        <v>1207.55</v>
      </c>
      <c r="O146" s="3">
        <v>1245.5999999999999</v>
      </c>
      <c r="P146" s="2">
        <v>125</v>
      </c>
      <c r="Q146" s="1">
        <v>-763.65</v>
      </c>
      <c r="R146" s="3">
        <v>1237.8499999999999</v>
      </c>
      <c r="S146" s="1">
        <v>50.59</v>
      </c>
      <c r="T146" s="2">
        <v>638</v>
      </c>
      <c r="U146" s="2">
        <v>-1250</v>
      </c>
      <c r="V146" s="2">
        <v>9100</v>
      </c>
      <c r="W146" s="1" t="s">
        <v>19</v>
      </c>
    </row>
    <row r="147" spans="1:23">
      <c r="A147" s="1" t="s">
        <v>19</v>
      </c>
      <c r="B147" s="2">
        <v>97225</v>
      </c>
      <c r="C147" s="2">
        <v>58400</v>
      </c>
      <c r="D147" s="2">
        <v>34490</v>
      </c>
      <c r="E147" s="1">
        <v>44.51</v>
      </c>
      <c r="F147" s="3">
        <v>12.3</v>
      </c>
      <c r="G147" s="3">
        <v>-3</v>
      </c>
      <c r="H147" s="2">
        <v>125</v>
      </c>
      <c r="I147" s="3">
        <v>12.3</v>
      </c>
      <c r="J147" s="3">
        <v>13</v>
      </c>
      <c r="K147" s="2">
        <v>700</v>
      </c>
      <c r="L147" s="1">
        <v>31100</v>
      </c>
      <c r="M147" s="2">
        <v>750</v>
      </c>
      <c r="N147" s="3">
        <v>1240.7</v>
      </c>
      <c r="O147" s="3">
        <v>1452.4</v>
      </c>
      <c r="P147" s="2">
        <v>125</v>
      </c>
      <c r="Q147" s="1" t="s">
        <v>20</v>
      </c>
      <c r="R147" s="3" t="s">
        <v>20</v>
      </c>
      <c r="S147" s="1" t="s">
        <v>20</v>
      </c>
      <c r="T147" s="2" t="s">
        <v>20</v>
      </c>
      <c r="U147" s="2" t="s">
        <v>20</v>
      </c>
      <c r="V147" s="2">
        <v>25</v>
      </c>
      <c r="W147" s="1" t="s">
        <v>19</v>
      </c>
    </row>
    <row r="148" spans="1:23">
      <c r="A148" s="1" t="s">
        <v>19</v>
      </c>
      <c r="B148" s="2">
        <v>101825</v>
      </c>
      <c r="C148" s="2">
        <v>20525</v>
      </c>
      <c r="D148" s="2">
        <v>43261</v>
      </c>
      <c r="E148" s="1">
        <v>45.17</v>
      </c>
      <c r="F148" s="3">
        <v>9.9</v>
      </c>
      <c r="G148" s="3">
        <v>-3.7</v>
      </c>
      <c r="H148" s="2">
        <v>25</v>
      </c>
      <c r="I148" s="3">
        <v>9.5</v>
      </c>
      <c r="J148" s="3">
        <v>9.9</v>
      </c>
      <c r="K148" s="2">
        <v>600</v>
      </c>
      <c r="L148" s="1">
        <v>31200</v>
      </c>
      <c r="M148" s="2">
        <v>75</v>
      </c>
      <c r="N148" s="3">
        <v>1403.85</v>
      </c>
      <c r="O148" s="3">
        <v>1569.45</v>
      </c>
      <c r="P148" s="2">
        <v>625</v>
      </c>
      <c r="Q148" s="1" t="s">
        <v>20</v>
      </c>
      <c r="R148" s="3" t="s">
        <v>20</v>
      </c>
      <c r="S148" s="1" t="s">
        <v>20</v>
      </c>
      <c r="T148" s="2" t="s">
        <v>20</v>
      </c>
      <c r="U148" s="2" t="s">
        <v>20</v>
      </c>
      <c r="V148" s="2">
        <v>25</v>
      </c>
      <c r="W148" s="1" t="s">
        <v>19</v>
      </c>
    </row>
    <row r="149" spans="1:23">
      <c r="A149" s="1" t="s">
        <v>19</v>
      </c>
      <c r="B149" s="2">
        <v>36500</v>
      </c>
      <c r="C149" s="2">
        <v>5000</v>
      </c>
      <c r="D149" s="2">
        <v>19158</v>
      </c>
      <c r="E149" s="1">
        <v>45.91</v>
      </c>
      <c r="F149" s="3">
        <v>8</v>
      </c>
      <c r="G149" s="3">
        <v>-4.5</v>
      </c>
      <c r="H149" s="2">
        <v>25</v>
      </c>
      <c r="I149" s="3">
        <v>7.4</v>
      </c>
      <c r="J149" s="3">
        <v>8</v>
      </c>
      <c r="K149" s="2">
        <v>100</v>
      </c>
      <c r="L149" s="1">
        <v>31300</v>
      </c>
      <c r="M149" s="2">
        <v>75</v>
      </c>
      <c r="N149" s="3">
        <v>1502.25</v>
      </c>
      <c r="O149" s="3">
        <v>1557.7</v>
      </c>
      <c r="P149" s="2">
        <v>75</v>
      </c>
      <c r="Q149" s="1">
        <v>-692.05</v>
      </c>
      <c r="R149" s="3">
        <v>1600</v>
      </c>
      <c r="S149" s="1" t="s">
        <v>20</v>
      </c>
      <c r="T149" s="2">
        <v>3</v>
      </c>
      <c r="U149" s="2" t="s">
        <v>20</v>
      </c>
      <c r="V149" s="2">
        <v>25</v>
      </c>
      <c r="W149" s="1" t="s">
        <v>19</v>
      </c>
    </row>
    <row r="150" spans="1:23">
      <c r="A150" s="1" t="s">
        <v>19</v>
      </c>
      <c r="B150" s="2">
        <v>39975</v>
      </c>
      <c r="C150" s="2">
        <v>-11100</v>
      </c>
      <c r="D150" s="2">
        <v>14457</v>
      </c>
      <c r="E150" s="1">
        <v>46.77</v>
      </c>
      <c r="F150" s="3">
        <v>6.55</v>
      </c>
      <c r="G150" s="3">
        <v>-4.75</v>
      </c>
      <c r="H150" s="2">
        <v>1900</v>
      </c>
      <c r="I150" s="3">
        <v>6.55</v>
      </c>
      <c r="J150" s="3">
        <v>7.35</v>
      </c>
      <c r="K150" s="2">
        <v>250</v>
      </c>
      <c r="L150" s="1">
        <v>31400</v>
      </c>
      <c r="M150" s="2">
        <v>625</v>
      </c>
      <c r="N150" s="3">
        <v>1544.3</v>
      </c>
      <c r="O150" s="3">
        <v>1719.8</v>
      </c>
      <c r="P150" s="2">
        <v>625</v>
      </c>
      <c r="Q150" s="1" t="s">
        <v>20</v>
      </c>
      <c r="R150" s="3" t="s">
        <v>20</v>
      </c>
      <c r="S150" s="1" t="s">
        <v>20</v>
      </c>
      <c r="T150" s="2" t="s">
        <v>20</v>
      </c>
      <c r="U150" s="2" t="s">
        <v>20</v>
      </c>
      <c r="V150" s="2">
        <v>25</v>
      </c>
      <c r="W150" s="1" t="s">
        <v>19</v>
      </c>
    </row>
    <row r="151" spans="1:23">
      <c r="A151" s="1" t="s">
        <v>19</v>
      </c>
      <c r="B151" s="2">
        <v>460300</v>
      </c>
      <c r="C151" s="2">
        <v>-134525</v>
      </c>
      <c r="D151" s="2">
        <v>118965</v>
      </c>
      <c r="E151" s="1">
        <v>47.7</v>
      </c>
      <c r="F151" s="3">
        <v>6.2</v>
      </c>
      <c r="G151" s="3">
        <v>-4</v>
      </c>
      <c r="H151" s="2">
        <v>750</v>
      </c>
      <c r="I151" s="3">
        <v>5.85</v>
      </c>
      <c r="J151" s="3">
        <v>6.2</v>
      </c>
      <c r="K151" s="2">
        <v>3625</v>
      </c>
      <c r="L151" s="1">
        <v>31500</v>
      </c>
      <c r="M151" s="2">
        <v>25</v>
      </c>
      <c r="N151" s="3">
        <v>1711.1</v>
      </c>
      <c r="O151" s="3">
        <v>1738.7</v>
      </c>
      <c r="P151" s="2">
        <v>75</v>
      </c>
      <c r="Q151" s="1">
        <v>-729.95</v>
      </c>
      <c r="R151" s="3">
        <v>1800</v>
      </c>
      <c r="S151" s="1" t="s">
        <v>20</v>
      </c>
      <c r="T151" s="2">
        <v>191</v>
      </c>
      <c r="U151" s="2">
        <v>125</v>
      </c>
      <c r="V151" s="2">
        <v>5350</v>
      </c>
      <c r="W151" s="1" t="s">
        <v>19</v>
      </c>
    </row>
    <row r="152" spans="1:23">
      <c r="A152" s="1" t="s">
        <v>19</v>
      </c>
      <c r="B152" s="2">
        <v>28775</v>
      </c>
      <c r="C152" s="2">
        <v>-2675</v>
      </c>
      <c r="D152" s="2">
        <v>5748</v>
      </c>
      <c r="E152" s="1">
        <v>48.61</v>
      </c>
      <c r="F152" s="3">
        <v>5.8</v>
      </c>
      <c r="G152" s="3">
        <v>-3.65</v>
      </c>
      <c r="H152" s="2">
        <v>50</v>
      </c>
      <c r="I152" s="3">
        <v>5.2</v>
      </c>
      <c r="J152" s="3">
        <v>5.8</v>
      </c>
      <c r="K152" s="2">
        <v>75</v>
      </c>
      <c r="L152" s="1">
        <v>31600</v>
      </c>
      <c r="M152" s="2">
        <v>75</v>
      </c>
      <c r="N152" s="3">
        <v>1806.6</v>
      </c>
      <c r="O152" s="3">
        <v>1860.85</v>
      </c>
      <c r="P152" s="2">
        <v>75</v>
      </c>
      <c r="Q152" s="1" t="s">
        <v>20</v>
      </c>
      <c r="R152" s="3" t="s">
        <v>20</v>
      </c>
      <c r="S152" s="1" t="s">
        <v>20</v>
      </c>
      <c r="T152" s="2" t="s">
        <v>20</v>
      </c>
      <c r="U152" s="2" t="s">
        <v>20</v>
      </c>
      <c r="V152" s="2">
        <v>25</v>
      </c>
      <c r="W152" s="1" t="s">
        <v>19</v>
      </c>
    </row>
    <row r="153" spans="1:23">
      <c r="A153" s="1" t="s">
        <v>19</v>
      </c>
      <c r="B153" s="2">
        <v>24750</v>
      </c>
      <c r="C153" s="2">
        <v>5025</v>
      </c>
      <c r="D153" s="2">
        <v>7125</v>
      </c>
      <c r="E153" s="1">
        <v>49.57</v>
      </c>
      <c r="F153" s="3">
        <v>4.8499999999999996</v>
      </c>
      <c r="G153" s="3">
        <v>-3.8</v>
      </c>
      <c r="H153" s="2">
        <v>350</v>
      </c>
      <c r="I153" s="3">
        <v>4.3499999999999996</v>
      </c>
      <c r="J153" s="3">
        <v>5.8</v>
      </c>
      <c r="K153" s="2">
        <v>25</v>
      </c>
      <c r="L153" s="1">
        <v>31700</v>
      </c>
      <c r="M153" s="2">
        <v>25</v>
      </c>
      <c r="N153" s="3">
        <v>1873.85</v>
      </c>
      <c r="O153" s="3">
        <v>1974.65</v>
      </c>
      <c r="P153" s="2">
        <v>500</v>
      </c>
      <c r="Q153" s="1" t="s">
        <v>20</v>
      </c>
      <c r="R153" s="3" t="s">
        <v>20</v>
      </c>
      <c r="S153" s="1" t="s">
        <v>20</v>
      </c>
      <c r="T153" s="2" t="s">
        <v>20</v>
      </c>
      <c r="U153" s="2" t="s">
        <v>20</v>
      </c>
      <c r="V153" s="2" t="s">
        <v>20</v>
      </c>
      <c r="W153" s="1" t="s">
        <v>19</v>
      </c>
    </row>
    <row r="154" spans="1:23">
      <c r="A154" s="1" t="s">
        <v>19</v>
      </c>
      <c r="B154" s="2">
        <v>64825</v>
      </c>
      <c r="C154" s="2">
        <v>-16625</v>
      </c>
      <c r="D154" s="2">
        <v>8465</v>
      </c>
      <c r="E154" s="1">
        <v>50.61</v>
      </c>
      <c r="F154" s="3">
        <v>4.5</v>
      </c>
      <c r="G154" s="3">
        <v>-3.7</v>
      </c>
      <c r="H154" s="2">
        <v>1175</v>
      </c>
      <c r="I154" s="3">
        <v>3.65</v>
      </c>
      <c r="J154" s="3">
        <v>4.45</v>
      </c>
      <c r="K154" s="2">
        <v>100</v>
      </c>
      <c r="L154" s="1">
        <v>31800</v>
      </c>
      <c r="M154" s="2">
        <v>625</v>
      </c>
      <c r="N154" s="3">
        <v>1928.35</v>
      </c>
      <c r="O154" s="3">
        <v>2170.8000000000002</v>
      </c>
      <c r="P154" s="2">
        <v>625</v>
      </c>
      <c r="Q154" s="1" t="s">
        <v>20</v>
      </c>
      <c r="R154" s="3" t="s">
        <v>20</v>
      </c>
      <c r="S154" s="1" t="s">
        <v>20</v>
      </c>
      <c r="T154" s="2" t="s">
        <v>20</v>
      </c>
      <c r="U154" s="2" t="s">
        <v>20</v>
      </c>
      <c r="V154" s="2">
        <v>100</v>
      </c>
      <c r="W154" s="1" t="s">
        <v>19</v>
      </c>
    </row>
    <row r="155" spans="1:23">
      <c r="A155" s="1" t="s">
        <v>19</v>
      </c>
      <c r="B155" s="2">
        <v>11875</v>
      </c>
      <c r="C155" s="2">
        <v>-9150</v>
      </c>
      <c r="D155" s="2">
        <v>3723</v>
      </c>
      <c r="E155" s="1">
        <v>51.57</v>
      </c>
      <c r="F155" s="3">
        <v>3.6</v>
      </c>
      <c r="G155" s="3">
        <v>-3.8</v>
      </c>
      <c r="H155" s="2">
        <v>550</v>
      </c>
      <c r="I155" s="3">
        <v>3.45</v>
      </c>
      <c r="J155" s="3">
        <v>4.2</v>
      </c>
      <c r="K155" s="2">
        <v>100</v>
      </c>
      <c r="L155" s="1">
        <v>31900</v>
      </c>
      <c r="M155" s="2">
        <v>625</v>
      </c>
      <c r="N155" s="3">
        <v>2028.85</v>
      </c>
      <c r="O155" s="3">
        <v>2271.9499999999998</v>
      </c>
      <c r="P155" s="2">
        <v>625</v>
      </c>
      <c r="Q155" s="1" t="s">
        <v>20</v>
      </c>
      <c r="R155" s="3" t="s">
        <v>20</v>
      </c>
      <c r="S155" s="1" t="s">
        <v>20</v>
      </c>
      <c r="T155" s="2" t="s">
        <v>20</v>
      </c>
      <c r="U155" s="2" t="s">
        <v>20</v>
      </c>
      <c r="V155" s="2">
        <v>50</v>
      </c>
      <c r="W155" s="1" t="s">
        <v>19</v>
      </c>
    </row>
    <row r="156" spans="1:23">
      <c r="A156" s="1" t="s">
        <v>19</v>
      </c>
      <c r="B156" s="2">
        <v>397675</v>
      </c>
      <c r="C156" s="2">
        <v>-250300</v>
      </c>
      <c r="D156" s="2">
        <v>71207</v>
      </c>
      <c r="E156" s="1">
        <v>52.53</v>
      </c>
      <c r="F156" s="3">
        <v>3</v>
      </c>
      <c r="G156" s="3">
        <v>-3.95</v>
      </c>
      <c r="H156" s="2">
        <v>350</v>
      </c>
      <c r="I156" s="3">
        <v>3</v>
      </c>
      <c r="J156" s="3">
        <v>3.3</v>
      </c>
      <c r="K156" s="2">
        <v>1950</v>
      </c>
      <c r="L156" s="1">
        <v>32000</v>
      </c>
      <c r="M156" s="2">
        <v>125</v>
      </c>
      <c r="N156" s="3">
        <v>2127.9499999999998</v>
      </c>
      <c r="O156" s="3">
        <v>2252.6999999999998</v>
      </c>
      <c r="P156" s="2">
        <v>100</v>
      </c>
      <c r="Q156" s="1">
        <v>-462.6</v>
      </c>
      <c r="R156" s="3">
        <v>2239.9499999999998</v>
      </c>
      <c r="S156" s="1" t="s">
        <v>20</v>
      </c>
      <c r="T156" s="2">
        <v>21</v>
      </c>
      <c r="U156" s="2">
        <v>-375</v>
      </c>
      <c r="V156" s="2">
        <v>175</v>
      </c>
      <c r="W156" s="1" t="s">
        <v>19</v>
      </c>
    </row>
    <row r="157" spans="1:23">
      <c r="A157" s="1" t="s">
        <v>19</v>
      </c>
      <c r="B157" s="2">
        <v>6025</v>
      </c>
      <c r="C157" s="2">
        <v>-2675</v>
      </c>
      <c r="D157" s="2">
        <v>1054</v>
      </c>
      <c r="E157" s="1">
        <v>53.99</v>
      </c>
      <c r="F157" s="3">
        <v>3.2</v>
      </c>
      <c r="G157" s="3">
        <v>-3.1</v>
      </c>
      <c r="H157" s="2">
        <v>25</v>
      </c>
      <c r="I157" s="3">
        <v>2.65</v>
      </c>
      <c r="J157" s="3">
        <v>3.1</v>
      </c>
      <c r="K157" s="2">
        <v>100</v>
      </c>
      <c r="L157" s="1">
        <v>32100</v>
      </c>
      <c r="M157" s="2">
        <v>500</v>
      </c>
      <c r="N157" s="3">
        <v>2264.9499999999998</v>
      </c>
      <c r="O157" s="3">
        <v>2374.65</v>
      </c>
      <c r="P157" s="2">
        <v>500</v>
      </c>
      <c r="Q157" s="1" t="s">
        <v>20</v>
      </c>
      <c r="R157" s="3" t="s">
        <v>20</v>
      </c>
      <c r="S157" s="1" t="s">
        <v>20</v>
      </c>
      <c r="T157" s="2" t="s">
        <v>20</v>
      </c>
      <c r="U157" s="2" t="s">
        <v>20</v>
      </c>
      <c r="V157" s="2">
        <v>25</v>
      </c>
      <c r="W157" s="1" t="s">
        <v>19</v>
      </c>
    </row>
    <row r="158" spans="1:23">
      <c r="A158" s="1" t="s">
        <v>19</v>
      </c>
      <c r="B158" s="2">
        <v>15275</v>
      </c>
      <c r="C158" s="2">
        <v>-4950</v>
      </c>
      <c r="D158" s="2">
        <v>1459</v>
      </c>
      <c r="E158" s="1">
        <v>54.74</v>
      </c>
      <c r="F158" s="3">
        <v>2.7</v>
      </c>
      <c r="G158" s="3">
        <v>-3.1</v>
      </c>
      <c r="H158" s="2">
        <v>75</v>
      </c>
      <c r="I158" s="3">
        <v>2.75</v>
      </c>
      <c r="J158" s="3">
        <v>3.2</v>
      </c>
      <c r="K158" s="2">
        <v>125</v>
      </c>
      <c r="L158" s="1">
        <v>32200</v>
      </c>
      <c r="M158" s="2">
        <v>25</v>
      </c>
      <c r="N158" s="3">
        <v>2373.85</v>
      </c>
      <c r="O158" s="3">
        <v>2474.65</v>
      </c>
      <c r="P158" s="2">
        <v>500</v>
      </c>
      <c r="Q158" s="1" t="s">
        <v>20</v>
      </c>
      <c r="R158" s="3" t="s">
        <v>20</v>
      </c>
      <c r="S158" s="1" t="s">
        <v>20</v>
      </c>
      <c r="T158" s="2" t="s">
        <v>20</v>
      </c>
      <c r="U158" s="2" t="s">
        <v>20</v>
      </c>
      <c r="V158" s="2" t="s">
        <v>20</v>
      </c>
      <c r="W158" s="1" t="s">
        <v>19</v>
      </c>
    </row>
    <row r="159" spans="1:23">
      <c r="A159" s="1" t="s">
        <v>19</v>
      </c>
      <c r="B159" s="2">
        <v>8450</v>
      </c>
      <c r="C159" s="2">
        <v>175</v>
      </c>
      <c r="D159" s="2">
        <v>1059</v>
      </c>
      <c r="E159" s="1">
        <v>55.67</v>
      </c>
      <c r="F159" s="3">
        <v>2.1</v>
      </c>
      <c r="G159" s="3">
        <v>-3.65</v>
      </c>
      <c r="H159" s="2">
        <v>100</v>
      </c>
      <c r="I159" s="3">
        <v>2.1</v>
      </c>
      <c r="J159" s="3">
        <v>2.8</v>
      </c>
      <c r="K159" s="2">
        <v>100</v>
      </c>
      <c r="L159" s="1">
        <v>32300</v>
      </c>
      <c r="M159" s="2">
        <v>625</v>
      </c>
      <c r="N159" s="3">
        <v>2323.5500000000002</v>
      </c>
      <c r="O159" s="3">
        <v>2667.45</v>
      </c>
      <c r="P159" s="2">
        <v>625</v>
      </c>
      <c r="Q159" s="1" t="s">
        <v>20</v>
      </c>
      <c r="R159" s="3" t="s">
        <v>20</v>
      </c>
      <c r="S159" s="1" t="s">
        <v>20</v>
      </c>
      <c r="T159" s="2" t="s">
        <v>20</v>
      </c>
      <c r="U159" s="2" t="s">
        <v>20</v>
      </c>
      <c r="V159" s="2">
        <v>25</v>
      </c>
      <c r="W159" s="1" t="s">
        <v>19</v>
      </c>
    </row>
    <row r="160" spans="1:23">
      <c r="A160" s="1" t="s">
        <v>19</v>
      </c>
      <c r="B160" s="2">
        <v>11500</v>
      </c>
      <c r="C160" s="2">
        <v>5325</v>
      </c>
      <c r="D160" s="2">
        <v>1366</v>
      </c>
      <c r="E160" s="1">
        <v>56.27</v>
      </c>
      <c r="F160" s="3">
        <v>2.25</v>
      </c>
      <c r="G160" s="3">
        <v>-2.7</v>
      </c>
      <c r="H160" s="2">
        <v>400</v>
      </c>
      <c r="I160" s="3">
        <v>2.35</v>
      </c>
      <c r="J160" s="3">
        <v>2.9</v>
      </c>
      <c r="K160" s="2">
        <v>25</v>
      </c>
      <c r="L160" s="1">
        <v>32400</v>
      </c>
      <c r="M160" s="2">
        <v>625</v>
      </c>
      <c r="N160" s="3">
        <v>2519.1999999999998</v>
      </c>
      <c r="O160" s="3">
        <v>2763.85</v>
      </c>
      <c r="P160" s="2">
        <v>625</v>
      </c>
      <c r="Q160" s="1" t="s">
        <v>20</v>
      </c>
      <c r="R160" s="3" t="s">
        <v>20</v>
      </c>
      <c r="S160" s="1" t="s">
        <v>20</v>
      </c>
      <c r="T160" s="2" t="s">
        <v>20</v>
      </c>
      <c r="U160" s="2" t="s">
        <v>20</v>
      </c>
      <c r="V160" s="2">
        <v>25</v>
      </c>
      <c r="W160" s="1" t="s">
        <v>19</v>
      </c>
    </row>
    <row r="161" spans="1:23">
      <c r="A161" s="1" t="s">
        <v>19</v>
      </c>
      <c r="B161" s="2">
        <v>334775</v>
      </c>
      <c r="C161" s="2">
        <v>-65700</v>
      </c>
      <c r="D161" s="2">
        <v>38343</v>
      </c>
      <c r="E161" s="1">
        <v>57.09</v>
      </c>
      <c r="F161" s="3">
        <v>2.15</v>
      </c>
      <c r="G161" s="3">
        <v>-2.5499999999999998</v>
      </c>
      <c r="H161" s="2">
        <v>1325</v>
      </c>
      <c r="I161" s="3">
        <v>2.0499999999999998</v>
      </c>
      <c r="J161" s="3">
        <v>2.15</v>
      </c>
      <c r="K161" s="2">
        <v>1250</v>
      </c>
      <c r="L161" s="1">
        <v>32500</v>
      </c>
      <c r="M161" s="2">
        <v>25</v>
      </c>
      <c r="N161" s="3">
        <v>2688.35</v>
      </c>
      <c r="O161" s="3">
        <v>2769.9</v>
      </c>
      <c r="P161" s="2">
        <v>100</v>
      </c>
      <c r="Q161" s="1">
        <v>-550.5</v>
      </c>
      <c r="R161" s="3">
        <v>2786.1</v>
      </c>
      <c r="S161" s="1" t="s">
        <v>20</v>
      </c>
      <c r="T161" s="2">
        <v>4</v>
      </c>
      <c r="U161" s="2">
        <v>25</v>
      </c>
      <c r="V161" s="2">
        <v>125</v>
      </c>
      <c r="W161" s="1" t="s">
        <v>19</v>
      </c>
    </row>
    <row r="162" spans="1:23">
      <c r="A162" s="1" t="s">
        <v>19</v>
      </c>
      <c r="B162" s="2">
        <v>10325</v>
      </c>
      <c r="C162" s="2">
        <v>3025</v>
      </c>
      <c r="D162" s="2">
        <v>1175</v>
      </c>
      <c r="E162" s="1">
        <v>58.11</v>
      </c>
      <c r="F162" s="3">
        <v>1.75</v>
      </c>
      <c r="G162" s="3">
        <v>-2.8</v>
      </c>
      <c r="H162" s="2">
        <v>275</v>
      </c>
      <c r="I162" s="3">
        <v>1.8</v>
      </c>
      <c r="J162" s="3">
        <v>2.2999999999999998</v>
      </c>
      <c r="K162" s="2">
        <v>25</v>
      </c>
      <c r="L162" s="1">
        <v>32600</v>
      </c>
      <c r="M162" s="2">
        <v>625</v>
      </c>
      <c r="N162" s="3">
        <v>2718.35</v>
      </c>
      <c r="O162" s="3">
        <v>2963.3</v>
      </c>
      <c r="P162" s="2">
        <v>625</v>
      </c>
      <c r="Q162" s="1" t="s">
        <v>20</v>
      </c>
      <c r="R162" s="3" t="s">
        <v>20</v>
      </c>
      <c r="S162" s="1" t="s">
        <v>20</v>
      </c>
      <c r="T162" s="2" t="s">
        <v>20</v>
      </c>
      <c r="U162" s="2" t="s">
        <v>20</v>
      </c>
      <c r="V162" s="2">
        <v>25</v>
      </c>
      <c r="W162" s="1" t="s">
        <v>19</v>
      </c>
    </row>
    <row r="163" spans="1:23">
      <c r="A163" s="1" t="s">
        <v>19</v>
      </c>
      <c r="B163" s="2">
        <v>89250</v>
      </c>
      <c r="C163" s="2">
        <v>-5825</v>
      </c>
      <c r="D163" s="2">
        <v>18816</v>
      </c>
      <c r="E163" s="1">
        <v>60.01</v>
      </c>
      <c r="F163" s="3">
        <v>2.2000000000000002</v>
      </c>
      <c r="G163" s="3">
        <v>-2.2000000000000002</v>
      </c>
      <c r="H163" s="2">
        <v>25</v>
      </c>
      <c r="I163" s="3">
        <v>2.0499999999999998</v>
      </c>
      <c r="J163" s="3">
        <v>2.2000000000000002</v>
      </c>
      <c r="K163" s="2">
        <v>225</v>
      </c>
      <c r="L163" s="1">
        <v>32700</v>
      </c>
      <c r="M163" s="2">
        <v>500</v>
      </c>
      <c r="N163" s="3">
        <v>2864.9</v>
      </c>
      <c r="O163" s="3">
        <v>2974.65</v>
      </c>
      <c r="P163" s="2">
        <v>500</v>
      </c>
      <c r="Q163" s="1" t="s">
        <v>20</v>
      </c>
      <c r="R163" s="3" t="s">
        <v>20</v>
      </c>
      <c r="S163" s="1" t="s">
        <v>20</v>
      </c>
      <c r="T163" s="2" t="s">
        <v>20</v>
      </c>
      <c r="U163" s="2" t="s">
        <v>20</v>
      </c>
      <c r="V163" s="2">
        <v>25</v>
      </c>
      <c r="W163" s="1" t="s">
        <v>19</v>
      </c>
    </row>
    <row r="164" spans="1:23">
      <c r="A164" s="1" t="s">
        <v>21</v>
      </c>
      <c r="B164" s="2">
        <v>9516525</v>
      </c>
      <c r="C164" s="2"/>
      <c r="D164" s="2">
        <v>6601425</v>
      </c>
      <c r="F164" s="3"/>
      <c r="G164" s="3"/>
      <c r="H164" s="2"/>
      <c r="I164" s="3"/>
      <c r="J164" s="3"/>
      <c r="K164" s="2"/>
      <c r="M164" s="2"/>
      <c r="N164" s="3"/>
      <c r="O164" s="3"/>
      <c r="P164" s="2"/>
      <c r="R164" s="3"/>
      <c r="T164" s="2">
        <v>6352402</v>
      </c>
      <c r="U164" s="2"/>
      <c r="V164" s="2">
        <v>13211375</v>
      </c>
      <c r="W164" s="1" t="s">
        <v>21</v>
      </c>
    </row>
    <row r="165" spans="1:23">
      <c r="B165" s="2"/>
      <c r="C165" s="2"/>
      <c r="D165" s="2"/>
      <c r="F165" s="3"/>
      <c r="G165" s="3"/>
      <c r="H165" s="2"/>
      <c r="I165" s="3"/>
      <c r="J165" s="3"/>
      <c r="K165" s="2"/>
      <c r="M165" s="2"/>
      <c r="N165" s="3"/>
      <c r="O165" s="3"/>
      <c r="P165" s="2"/>
      <c r="R165" s="3"/>
      <c r="T165" s="2"/>
      <c r="U165" s="2"/>
      <c r="V165" s="2"/>
    </row>
    <row r="166" spans="1:23">
      <c r="A166" s="1" t="s">
        <v>22</v>
      </c>
      <c r="B166" s="2"/>
      <c r="C166" s="2"/>
      <c r="D166" s="2"/>
      <c r="F166" s="3"/>
      <c r="G166" s="3"/>
      <c r="H166" s="2"/>
      <c r="I166" s="3"/>
      <c r="J166" s="3"/>
      <c r="K166" s="2"/>
      <c r="M166" s="2"/>
      <c r="N166" s="3"/>
      <c r="O166" s="3"/>
      <c r="P166" s="2"/>
      <c r="R166" s="3"/>
      <c r="T166" s="2"/>
      <c r="U166" s="2"/>
      <c r="V166" s="2"/>
    </row>
    <row r="167" spans="1:23">
      <c r="A167" s="1" t="s">
        <v>23</v>
      </c>
      <c r="B167" s="2"/>
      <c r="C167" s="2"/>
      <c r="D167" s="2"/>
      <c r="F167" s="3"/>
      <c r="G167" s="3"/>
      <c r="H167" s="2"/>
      <c r="I167" s="3"/>
      <c r="J167" s="3"/>
      <c r="K167" s="2"/>
      <c r="M167" s="2"/>
      <c r="N167" s="3"/>
      <c r="O167" s="3"/>
      <c r="P167" s="2"/>
      <c r="R167" s="3"/>
      <c r="T167" s="2"/>
      <c r="U167" s="2"/>
      <c r="V167" s="2"/>
    </row>
    <row r="168" spans="1:23">
      <c r="B168" s="2"/>
      <c r="C168" s="2"/>
      <c r="D168" s="2"/>
      <c r="F168" s="3"/>
      <c r="G168" s="3"/>
      <c r="H168" s="2"/>
      <c r="I168" s="3"/>
      <c r="J168" s="3"/>
      <c r="K168" s="2"/>
      <c r="M168" s="2"/>
      <c r="N168" s="3"/>
      <c r="O168" s="3"/>
      <c r="P168" s="2"/>
      <c r="R168" s="3"/>
      <c r="T168" s="2"/>
      <c r="U168" s="2"/>
      <c r="V168" s="2"/>
    </row>
    <row r="169" spans="1:23">
      <c r="A169" s="1" t="s">
        <v>24</v>
      </c>
      <c r="B169" s="2"/>
      <c r="C169" s="2"/>
      <c r="D169" s="2"/>
      <c r="F169" s="3"/>
      <c r="G169" s="3"/>
      <c r="H169" s="2"/>
      <c r="I169" s="3"/>
      <c r="J169" s="3"/>
      <c r="K169" s="2"/>
      <c r="M169" s="2"/>
      <c r="N169" s="3"/>
      <c r="O169" s="3"/>
      <c r="P169" s="2"/>
      <c r="R169" s="3"/>
      <c r="T169" s="2"/>
      <c r="U169" s="2"/>
      <c r="V169" s="2"/>
    </row>
    <row r="170" spans="1:23">
      <c r="B170" s="2"/>
      <c r="C170" s="2"/>
      <c r="D170" s="2"/>
      <c r="F170" s="3"/>
      <c r="G170" s="3"/>
      <c r="H170" s="2"/>
      <c r="I170" s="3"/>
      <c r="J170" s="3"/>
      <c r="K170" s="2"/>
      <c r="M170" s="2"/>
      <c r="N170" s="3"/>
      <c r="O170" s="3"/>
      <c r="P170" s="2"/>
      <c r="R170" s="3"/>
      <c r="T170" s="2"/>
      <c r="U170" s="2"/>
      <c r="V170" s="2"/>
    </row>
    <row r="171" spans="1:23">
      <c r="B171" s="2"/>
      <c r="C171" s="2"/>
      <c r="D171" s="2"/>
      <c r="F171" s="3"/>
      <c r="G171" s="3"/>
      <c r="H171" s="2"/>
      <c r="I171" s="3"/>
      <c r="J171" s="3"/>
      <c r="K171" s="2"/>
      <c r="M171" s="2"/>
      <c r="N171" s="3"/>
      <c r="O171" s="3"/>
      <c r="P171" s="2"/>
      <c r="R171" s="3"/>
      <c r="T171" s="2"/>
      <c r="U171" s="2"/>
      <c r="V171" s="2"/>
    </row>
    <row r="172" spans="1:23">
      <c r="A172" s="1" t="s">
        <v>25</v>
      </c>
      <c r="B172" s="2"/>
      <c r="C172" s="2"/>
      <c r="D172" s="2"/>
      <c r="F172" s="3"/>
      <c r="G172" s="3"/>
      <c r="H172" s="2"/>
      <c r="I172" s="3"/>
      <c r="J172" s="3"/>
      <c r="K172" s="2"/>
      <c r="M172" s="2"/>
      <c r="N172" s="3"/>
      <c r="O172" s="3"/>
      <c r="P172" s="2"/>
      <c r="R172" s="3"/>
      <c r="T172" s="2"/>
      <c r="U172" s="2"/>
      <c r="V172" s="2"/>
    </row>
    <row r="173" spans="1:23">
      <c r="A173" s="1" t="s">
        <v>26</v>
      </c>
      <c r="B173" s="2"/>
      <c r="C173" s="2"/>
      <c r="D173" s="2"/>
      <c r="F173" s="3"/>
      <c r="G173" s="3"/>
      <c r="H173" s="2"/>
      <c r="I173" s="3"/>
      <c r="J173" s="3"/>
      <c r="K173" s="2"/>
      <c r="M173" s="2"/>
      <c r="N173" s="3"/>
      <c r="O173" s="3"/>
      <c r="P173" s="2"/>
      <c r="R173" s="3"/>
      <c r="T173" s="2"/>
      <c r="U173" s="2"/>
      <c r="V173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400"/>
  <sheetViews>
    <sheetView tabSelected="1" workbookViewId="0">
      <selection activeCell="A2" sqref="A2"/>
    </sheetView>
  </sheetViews>
  <sheetFormatPr defaultRowHeight="14.4"/>
  <cols>
    <col min="1" max="1" width="18" bestFit="1" customWidth="1"/>
    <col min="2" max="2" width="19.77734375" bestFit="1" customWidth="1"/>
    <col min="3" max="3" width="22.109375" bestFit="1" customWidth="1"/>
    <col min="4" max="4" width="23.88671875" bestFit="1" customWidth="1"/>
    <col min="5" max="5" width="21.33203125" bestFit="1" customWidth="1"/>
    <col min="6" max="6" width="21.33203125" customWidth="1"/>
    <col min="7" max="7" width="18" bestFit="1" customWidth="1"/>
    <col min="8" max="8" width="19.77734375" bestFit="1" customWidth="1"/>
    <col min="9" max="9" width="22.109375" bestFit="1" customWidth="1"/>
    <col min="10" max="10" width="23.88671875" bestFit="1" customWidth="1"/>
  </cols>
  <sheetData>
    <row r="1" spans="1:10">
      <c r="A1" t="s">
        <v>40</v>
      </c>
      <c r="B1" t="s">
        <v>41</v>
      </c>
      <c r="C1" t="s">
        <v>43</v>
      </c>
      <c r="D1" t="s">
        <v>42</v>
      </c>
      <c r="E1" t="s">
        <v>46</v>
      </c>
    </row>
    <row r="2" spans="1:10">
      <c r="E2" s="21"/>
      <c r="F2" s="21"/>
      <c r="G2" t="s">
        <v>40</v>
      </c>
      <c r="H2" t="s">
        <v>41</v>
      </c>
      <c r="I2" t="s">
        <v>43</v>
      </c>
      <c r="J2" t="s">
        <v>42</v>
      </c>
    </row>
    <row r="3" spans="1:10">
      <c r="E3" s="21"/>
      <c r="F3" s="21"/>
      <c r="G3" s="18">
        <f>Sheet2!$E$10-Sheet2!$I$10</f>
        <v>-21888975</v>
      </c>
      <c r="H3" s="18">
        <f>Sheet2!$F$10-Sheet2!$J$10</f>
        <v>-9551850</v>
      </c>
      <c r="I3" s="18">
        <f>Sheet2!$E$12-Sheet2!$I$12</f>
        <v>-3694850</v>
      </c>
      <c r="J3" s="18">
        <f>Sheet2!$F$12-Sheet2!$J$12</f>
        <v>-4698850</v>
      </c>
    </row>
    <row r="4" spans="1:10">
      <c r="E4" s="21"/>
      <c r="F4" s="21"/>
    </row>
    <row r="5" spans="1:10">
      <c r="E5" s="21"/>
      <c r="F5" s="21"/>
    </row>
    <row r="6" spans="1:10">
      <c r="E6" s="21"/>
      <c r="F6" s="21"/>
    </row>
    <row r="7" spans="1:10">
      <c r="E7" s="21"/>
      <c r="F7" s="21"/>
    </row>
    <row r="8" spans="1:10">
      <c r="E8" s="21"/>
      <c r="F8" s="21"/>
      <c r="H8" s="17"/>
      <c r="J8" s="17"/>
    </row>
    <row r="9" spans="1:10">
      <c r="E9" s="21"/>
      <c r="F9" s="21"/>
    </row>
    <row r="10" spans="1:10">
      <c r="E10" s="21"/>
      <c r="F10" s="21"/>
      <c r="H10" s="17"/>
      <c r="J10" s="17"/>
    </row>
    <row r="11" spans="1:10">
      <c r="E11" s="21"/>
      <c r="F11" s="21"/>
    </row>
    <row r="12" spans="1:10">
      <c r="E12" s="21"/>
      <c r="F12" s="21"/>
    </row>
    <row r="13" spans="1:10">
      <c r="E13" s="21"/>
      <c r="F13" s="21"/>
    </row>
    <row r="14" spans="1:10">
      <c r="E14" s="21"/>
      <c r="F14" s="21"/>
    </row>
    <row r="15" spans="1:10">
      <c r="E15" s="21"/>
      <c r="F15" s="21"/>
    </row>
    <row r="16" spans="1:10">
      <c r="E16" s="21"/>
      <c r="F16" s="21"/>
    </row>
    <row r="17" spans="5:6">
      <c r="E17" s="21"/>
      <c r="F17" s="21"/>
    </row>
    <row r="18" spans="5:6">
      <c r="E18" s="21"/>
      <c r="F18" s="21"/>
    </row>
    <row r="19" spans="5:6">
      <c r="E19" s="21"/>
      <c r="F19" s="21"/>
    </row>
    <row r="20" spans="5:6">
      <c r="E20" s="21"/>
      <c r="F20" s="21"/>
    </row>
    <row r="21" spans="5:6">
      <c r="E21" s="21"/>
      <c r="F21" s="21"/>
    </row>
    <row r="22" spans="5:6">
      <c r="E22" s="21"/>
      <c r="F22" s="21"/>
    </row>
    <row r="23" spans="5:6">
      <c r="E23" s="21"/>
      <c r="F23" s="21"/>
    </row>
    <row r="24" spans="5:6">
      <c r="E24" s="21"/>
      <c r="F24" s="21"/>
    </row>
    <row r="25" spans="5:6">
      <c r="E25" s="21"/>
      <c r="F25" s="21"/>
    </row>
    <row r="26" spans="5:6">
      <c r="E26" s="21"/>
      <c r="F26" s="21"/>
    </row>
    <row r="27" spans="5:6">
      <c r="E27" s="21"/>
      <c r="F27" s="21"/>
    </row>
    <row r="28" spans="5:6">
      <c r="E28" s="21"/>
      <c r="F28" s="21"/>
    </row>
    <row r="29" spans="5:6">
      <c r="E29" s="21"/>
      <c r="F29" s="21"/>
    </row>
    <row r="30" spans="5:6">
      <c r="E30" s="21"/>
      <c r="F30" s="21"/>
    </row>
    <row r="31" spans="5:6">
      <c r="E31" s="21"/>
      <c r="F31" s="21"/>
    </row>
    <row r="32" spans="5:6">
      <c r="E32" s="21"/>
      <c r="F32" s="21"/>
    </row>
    <row r="33" spans="5:6">
      <c r="E33" s="21"/>
      <c r="F33" s="21"/>
    </row>
    <row r="34" spans="5:6">
      <c r="E34" s="21"/>
      <c r="F34" s="21"/>
    </row>
    <row r="35" spans="5:6">
      <c r="E35" s="21"/>
      <c r="F35" s="21"/>
    </row>
    <row r="36" spans="5:6">
      <c r="E36" s="21"/>
      <c r="F36" s="21"/>
    </row>
    <row r="37" spans="5:6">
      <c r="E37" s="21"/>
      <c r="F37" s="21"/>
    </row>
    <row r="38" spans="5:6">
      <c r="E38" s="21"/>
      <c r="F38" s="21"/>
    </row>
    <row r="39" spans="5:6">
      <c r="E39" s="21"/>
      <c r="F39" s="21"/>
    </row>
    <row r="40" spans="5:6">
      <c r="E40" s="21"/>
      <c r="F40" s="21"/>
    </row>
    <row r="41" spans="5:6">
      <c r="E41" s="21"/>
      <c r="F41" s="21"/>
    </row>
    <row r="42" spans="5:6">
      <c r="E42" s="21"/>
      <c r="F42" s="21"/>
    </row>
    <row r="43" spans="5:6">
      <c r="E43" s="21"/>
      <c r="F43" s="21"/>
    </row>
    <row r="44" spans="5:6">
      <c r="E44" s="21"/>
      <c r="F44" s="21"/>
    </row>
    <row r="45" spans="5:6">
      <c r="E45" s="21"/>
      <c r="F45" s="21"/>
    </row>
    <row r="46" spans="5:6">
      <c r="E46" s="21"/>
      <c r="F46" s="21"/>
    </row>
    <row r="47" spans="5:6">
      <c r="E47" s="21"/>
      <c r="F47" s="21"/>
    </row>
    <row r="48" spans="5:6">
      <c r="E48" s="21"/>
      <c r="F48" s="21"/>
    </row>
    <row r="49" spans="5:6">
      <c r="E49" s="21"/>
      <c r="F49" s="21"/>
    </row>
    <row r="50" spans="5:6">
      <c r="E50" s="21"/>
      <c r="F50" s="21"/>
    </row>
    <row r="51" spans="5:6">
      <c r="E51" s="21"/>
      <c r="F51" s="21"/>
    </row>
    <row r="52" spans="5:6">
      <c r="E52" s="21"/>
      <c r="F52" s="21"/>
    </row>
    <row r="53" spans="5:6">
      <c r="E53" s="21"/>
      <c r="F53" s="21"/>
    </row>
    <row r="54" spans="5:6">
      <c r="E54" s="21"/>
      <c r="F54" s="21"/>
    </row>
    <row r="55" spans="5:6">
      <c r="E55" s="21"/>
      <c r="F55" s="21"/>
    </row>
    <row r="56" spans="5:6">
      <c r="E56" s="21"/>
      <c r="F56" s="21"/>
    </row>
    <row r="57" spans="5:6">
      <c r="E57" s="21"/>
      <c r="F57" s="21"/>
    </row>
    <row r="58" spans="5:6">
      <c r="E58" s="21"/>
      <c r="F58" s="21"/>
    </row>
    <row r="59" spans="5:6">
      <c r="E59" s="21"/>
      <c r="F59" s="21"/>
    </row>
    <row r="60" spans="5:6">
      <c r="E60" s="21"/>
      <c r="F60" s="21"/>
    </row>
    <row r="61" spans="5:6">
      <c r="E61" s="21"/>
      <c r="F61" s="21"/>
    </row>
    <row r="62" spans="5:6">
      <c r="E62" s="21"/>
      <c r="F62" s="21"/>
    </row>
    <row r="63" spans="5:6">
      <c r="E63" s="21"/>
      <c r="F63" s="21"/>
    </row>
    <row r="64" spans="5:6">
      <c r="E64" s="21"/>
      <c r="F64" s="21"/>
    </row>
    <row r="65" spans="5:6">
      <c r="E65" s="21"/>
      <c r="F65" s="21"/>
    </row>
    <row r="66" spans="5:6">
      <c r="E66" s="21"/>
      <c r="F66" s="21"/>
    </row>
    <row r="67" spans="5:6">
      <c r="E67" s="21"/>
      <c r="F67" s="21"/>
    </row>
    <row r="68" spans="5:6">
      <c r="E68" s="21"/>
      <c r="F68" s="21"/>
    </row>
    <row r="69" spans="5:6">
      <c r="E69" s="21"/>
      <c r="F69" s="21"/>
    </row>
    <row r="70" spans="5:6">
      <c r="E70" s="21"/>
      <c r="F70" s="21"/>
    </row>
    <row r="71" spans="5:6">
      <c r="E71" s="21"/>
      <c r="F71" s="21"/>
    </row>
    <row r="72" spans="5:6">
      <c r="E72" s="21"/>
      <c r="F72" s="21"/>
    </row>
    <row r="73" spans="5:6">
      <c r="E73" s="21"/>
      <c r="F73" s="21"/>
    </row>
    <row r="74" spans="5:6">
      <c r="E74" s="21"/>
      <c r="F74" s="21"/>
    </row>
    <row r="75" spans="5:6">
      <c r="E75" s="21"/>
      <c r="F75" s="21"/>
    </row>
    <row r="76" spans="5:6">
      <c r="E76" s="21"/>
      <c r="F76" s="21"/>
    </row>
    <row r="77" spans="5:6">
      <c r="E77" s="21"/>
      <c r="F77" s="21"/>
    </row>
    <row r="78" spans="5:6">
      <c r="E78" s="21"/>
      <c r="F78" s="21"/>
    </row>
    <row r="79" spans="5:6">
      <c r="E79" s="21"/>
      <c r="F79" s="21"/>
    </row>
    <row r="80" spans="5:6">
      <c r="E80" s="21"/>
      <c r="F80" s="21"/>
    </row>
    <row r="81" spans="5:6">
      <c r="E81" s="21"/>
      <c r="F81" s="21"/>
    </row>
    <row r="82" spans="5:6">
      <c r="E82" s="21"/>
      <c r="F82" s="21"/>
    </row>
    <row r="83" spans="5:6">
      <c r="E83" s="21"/>
      <c r="F83" s="21"/>
    </row>
    <row r="84" spans="5:6">
      <c r="E84" s="21"/>
      <c r="F84" s="21"/>
    </row>
    <row r="85" spans="5:6">
      <c r="E85" s="21"/>
      <c r="F85" s="21"/>
    </row>
    <row r="86" spans="5:6">
      <c r="E86" s="21"/>
      <c r="F86" s="21"/>
    </row>
    <row r="87" spans="5:6">
      <c r="E87" s="21"/>
      <c r="F87" s="21"/>
    </row>
    <row r="88" spans="5:6">
      <c r="E88" s="21"/>
      <c r="F88" s="21"/>
    </row>
    <row r="89" spans="5:6">
      <c r="E89" s="21"/>
      <c r="F89" s="21"/>
    </row>
    <row r="90" spans="5:6">
      <c r="E90" s="21"/>
      <c r="F90" s="21"/>
    </row>
    <row r="91" spans="5:6">
      <c r="E91" s="21"/>
      <c r="F91" s="21"/>
    </row>
    <row r="92" spans="5:6">
      <c r="E92" s="21"/>
      <c r="F92" s="21"/>
    </row>
    <row r="93" spans="5:6">
      <c r="E93" s="21"/>
      <c r="F93" s="21"/>
    </row>
    <row r="94" spans="5:6">
      <c r="E94" s="21"/>
      <c r="F94" s="21"/>
    </row>
    <row r="95" spans="5:6">
      <c r="E95" s="21"/>
      <c r="F95" s="21"/>
    </row>
    <row r="96" spans="5:6">
      <c r="E96" s="21"/>
      <c r="F96" s="21"/>
    </row>
    <row r="97" spans="5:6">
      <c r="E97" s="21"/>
      <c r="F97" s="21"/>
    </row>
    <row r="98" spans="5:6">
      <c r="E98" s="21"/>
      <c r="F98" s="21"/>
    </row>
    <row r="99" spans="5:6">
      <c r="E99" s="21"/>
      <c r="F99" s="21"/>
    </row>
    <row r="100" spans="5:6">
      <c r="E100" s="21"/>
      <c r="F100" s="21"/>
    </row>
    <row r="101" spans="5:6">
      <c r="E101" s="21"/>
      <c r="F101" s="21"/>
    </row>
    <row r="102" spans="5:6">
      <c r="E102" s="21"/>
      <c r="F102" s="21"/>
    </row>
    <row r="103" spans="5:6">
      <c r="E103" s="21"/>
      <c r="F103" s="21"/>
    </row>
    <row r="104" spans="5:6">
      <c r="E104" s="21"/>
      <c r="F104" s="21"/>
    </row>
    <row r="105" spans="5:6">
      <c r="E105" s="21"/>
      <c r="F105" s="21"/>
    </row>
    <row r="106" spans="5:6">
      <c r="E106" s="21"/>
      <c r="F106" s="21"/>
    </row>
    <row r="107" spans="5:6">
      <c r="E107" s="21"/>
      <c r="F107" s="21"/>
    </row>
    <row r="108" spans="5:6">
      <c r="E108" s="21"/>
      <c r="F108" s="21"/>
    </row>
    <row r="109" spans="5:6">
      <c r="E109" s="21"/>
      <c r="F109" s="21"/>
    </row>
    <row r="110" spans="5:6">
      <c r="E110" s="21"/>
      <c r="F110" s="21"/>
    </row>
    <row r="111" spans="5:6">
      <c r="E111" s="21"/>
      <c r="F111" s="21"/>
    </row>
    <row r="112" spans="5:6">
      <c r="E112" s="21"/>
      <c r="F112" s="21"/>
    </row>
    <row r="113" spans="5:6">
      <c r="E113" s="21"/>
      <c r="F113" s="21"/>
    </row>
    <row r="114" spans="5:6">
      <c r="E114" s="21"/>
      <c r="F114" s="21"/>
    </row>
    <row r="115" spans="5:6">
      <c r="E115" s="21"/>
      <c r="F115" s="21"/>
    </row>
    <row r="116" spans="5:6">
      <c r="E116" s="21"/>
      <c r="F116" s="21"/>
    </row>
    <row r="117" spans="5:6">
      <c r="E117" s="21"/>
      <c r="F117" s="21"/>
    </row>
    <row r="118" spans="5:6">
      <c r="E118" s="21"/>
      <c r="F118" s="21"/>
    </row>
    <row r="119" spans="5:6">
      <c r="E119" s="21"/>
      <c r="F119" s="21"/>
    </row>
    <row r="120" spans="5:6">
      <c r="E120" s="21"/>
      <c r="F120" s="21"/>
    </row>
    <row r="121" spans="5:6">
      <c r="E121" s="21"/>
      <c r="F121" s="21"/>
    </row>
    <row r="122" spans="5:6">
      <c r="E122" s="21"/>
      <c r="F122" s="21"/>
    </row>
    <row r="123" spans="5:6">
      <c r="E123" s="21"/>
      <c r="F123" s="21"/>
    </row>
    <row r="124" spans="5:6">
      <c r="E124" s="21"/>
      <c r="F124" s="21"/>
    </row>
    <row r="125" spans="5:6">
      <c r="E125" s="21"/>
      <c r="F125" s="21"/>
    </row>
    <row r="126" spans="5:6">
      <c r="E126" s="21"/>
      <c r="F126" s="21"/>
    </row>
    <row r="127" spans="5:6">
      <c r="E127" s="21"/>
      <c r="F127" s="21"/>
    </row>
    <row r="128" spans="5:6">
      <c r="E128" s="21"/>
      <c r="F128" s="21"/>
    </row>
    <row r="129" spans="5:6">
      <c r="E129" s="21"/>
      <c r="F129" s="21"/>
    </row>
    <row r="130" spans="5:6">
      <c r="E130" s="21"/>
      <c r="F130" s="21"/>
    </row>
    <row r="131" spans="5:6">
      <c r="E131" s="21"/>
      <c r="F131" s="21"/>
    </row>
    <row r="132" spans="5:6">
      <c r="E132" s="21"/>
      <c r="F132" s="21"/>
    </row>
    <row r="133" spans="5:6">
      <c r="E133" s="21"/>
      <c r="F133" s="21"/>
    </row>
    <row r="134" spans="5:6">
      <c r="E134" s="21"/>
      <c r="F134" s="21"/>
    </row>
    <row r="135" spans="5:6">
      <c r="E135" s="21"/>
      <c r="F135" s="21"/>
    </row>
    <row r="136" spans="5:6">
      <c r="E136" s="21"/>
      <c r="F136" s="21"/>
    </row>
    <row r="137" spans="5:6">
      <c r="E137" s="21"/>
      <c r="F137" s="21"/>
    </row>
    <row r="138" spans="5:6">
      <c r="E138" s="21"/>
      <c r="F138" s="21"/>
    </row>
    <row r="139" spans="5:6">
      <c r="E139" s="21"/>
      <c r="F139" s="21"/>
    </row>
    <row r="140" spans="5:6">
      <c r="E140" s="21"/>
      <c r="F140" s="21"/>
    </row>
    <row r="141" spans="5:6">
      <c r="E141" s="21"/>
      <c r="F141" s="21"/>
    </row>
    <row r="142" spans="5:6">
      <c r="E142" s="21"/>
      <c r="F142" s="21"/>
    </row>
    <row r="143" spans="5:6">
      <c r="E143" s="21"/>
      <c r="F143" s="21"/>
    </row>
    <row r="144" spans="5:6">
      <c r="E144" s="21"/>
      <c r="F144" s="21"/>
    </row>
    <row r="145" spans="5:6">
      <c r="E145" s="21"/>
      <c r="F145" s="21"/>
    </row>
    <row r="146" spans="5:6">
      <c r="E146" s="21"/>
      <c r="F146" s="21"/>
    </row>
    <row r="147" spans="5:6">
      <c r="E147" s="21"/>
      <c r="F147" s="21"/>
    </row>
    <row r="148" spans="5:6">
      <c r="E148" s="21"/>
      <c r="F148" s="21"/>
    </row>
    <row r="149" spans="5:6">
      <c r="E149" s="21"/>
      <c r="F149" s="21"/>
    </row>
    <row r="150" spans="5:6">
      <c r="E150" s="21"/>
      <c r="F150" s="21"/>
    </row>
    <row r="151" spans="5:6">
      <c r="E151" s="21"/>
      <c r="F151" s="21"/>
    </row>
    <row r="152" spans="5:6">
      <c r="E152" s="21"/>
      <c r="F152" s="21"/>
    </row>
    <row r="153" spans="5:6">
      <c r="E153" s="21"/>
      <c r="F153" s="21"/>
    </row>
    <row r="154" spans="5:6">
      <c r="E154" s="21"/>
      <c r="F154" s="21"/>
    </row>
    <row r="155" spans="5:6">
      <c r="E155" s="21"/>
      <c r="F155" s="21"/>
    </row>
    <row r="156" spans="5:6">
      <c r="E156" s="21"/>
      <c r="F156" s="21"/>
    </row>
    <row r="157" spans="5:6">
      <c r="E157" s="21"/>
      <c r="F157" s="21"/>
    </row>
    <row r="158" spans="5:6">
      <c r="E158" s="21"/>
      <c r="F158" s="21"/>
    </row>
    <row r="159" spans="5:6">
      <c r="E159" s="21"/>
      <c r="F159" s="21"/>
    </row>
    <row r="160" spans="5:6">
      <c r="E160" s="21"/>
      <c r="F160" s="21"/>
    </row>
    <row r="161" spans="5:6">
      <c r="E161" s="21"/>
      <c r="F161" s="21"/>
    </row>
    <row r="162" spans="5:6">
      <c r="E162" s="21"/>
      <c r="F162" s="21"/>
    </row>
    <row r="163" spans="5:6">
      <c r="E163" s="21"/>
      <c r="F163" s="21"/>
    </row>
    <row r="164" spans="5:6">
      <c r="E164" s="21"/>
      <c r="F164" s="21"/>
    </row>
    <row r="165" spans="5:6">
      <c r="E165" s="21"/>
      <c r="F165" s="21"/>
    </row>
    <row r="166" spans="5:6">
      <c r="E166" s="21"/>
      <c r="F166" s="21"/>
    </row>
    <row r="167" spans="5:6">
      <c r="E167" s="21"/>
      <c r="F167" s="21"/>
    </row>
    <row r="168" spans="5:6">
      <c r="E168" s="21"/>
      <c r="F168" s="21"/>
    </row>
    <row r="169" spans="5:6">
      <c r="E169" s="21"/>
      <c r="F169" s="21"/>
    </row>
    <row r="170" spans="5:6">
      <c r="E170" s="21"/>
      <c r="F170" s="21"/>
    </row>
    <row r="171" spans="5:6">
      <c r="E171" s="21"/>
      <c r="F171" s="21"/>
    </row>
    <row r="172" spans="5:6">
      <c r="E172" s="21"/>
      <c r="F172" s="21"/>
    </row>
    <row r="173" spans="5:6">
      <c r="E173" s="21"/>
      <c r="F173" s="21"/>
    </row>
    <row r="174" spans="5:6">
      <c r="E174" s="21"/>
      <c r="F174" s="21"/>
    </row>
    <row r="175" spans="5:6">
      <c r="E175" s="21"/>
      <c r="F175" s="21"/>
    </row>
    <row r="176" spans="5:6">
      <c r="E176" s="21"/>
      <c r="F176" s="21"/>
    </row>
    <row r="177" spans="5:6">
      <c r="E177" s="21"/>
      <c r="F177" s="21"/>
    </row>
    <row r="178" spans="5:6">
      <c r="E178" s="21"/>
      <c r="F178" s="21"/>
    </row>
    <row r="179" spans="5:6">
      <c r="E179" s="21"/>
      <c r="F179" s="21"/>
    </row>
    <row r="180" spans="5:6">
      <c r="E180" s="21"/>
      <c r="F180" s="21"/>
    </row>
    <row r="181" spans="5:6">
      <c r="E181" s="21"/>
      <c r="F181" s="21"/>
    </row>
    <row r="182" spans="5:6">
      <c r="E182" s="21"/>
      <c r="F182" s="21"/>
    </row>
    <row r="183" spans="5:6">
      <c r="E183" s="21"/>
      <c r="F183" s="21"/>
    </row>
    <row r="184" spans="5:6">
      <c r="E184" s="21"/>
      <c r="F184" s="21"/>
    </row>
    <row r="185" spans="5:6">
      <c r="E185" s="21"/>
      <c r="F185" s="21"/>
    </row>
    <row r="186" spans="5:6">
      <c r="E186" s="21"/>
      <c r="F186" s="21"/>
    </row>
    <row r="187" spans="5:6">
      <c r="E187" s="21"/>
      <c r="F187" s="21"/>
    </row>
    <row r="188" spans="5:6">
      <c r="E188" s="21"/>
      <c r="F188" s="21"/>
    </row>
    <row r="189" spans="5:6">
      <c r="E189" s="21"/>
      <c r="F189" s="21"/>
    </row>
    <row r="190" spans="5:6">
      <c r="E190" s="21"/>
      <c r="F190" s="21"/>
    </row>
    <row r="191" spans="5:6">
      <c r="E191" s="21"/>
      <c r="F191" s="21"/>
    </row>
    <row r="192" spans="5:6">
      <c r="E192" s="21"/>
      <c r="F192" s="21"/>
    </row>
    <row r="193" spans="5:6">
      <c r="E193" s="21"/>
      <c r="F193" s="21"/>
    </row>
    <row r="194" spans="5:6">
      <c r="E194" s="21"/>
      <c r="F194" s="21"/>
    </row>
    <row r="195" spans="5:6">
      <c r="E195" s="21"/>
      <c r="F195" s="21"/>
    </row>
    <row r="196" spans="5:6">
      <c r="E196" s="21"/>
      <c r="F196" s="21"/>
    </row>
    <row r="197" spans="5:6">
      <c r="E197" s="21"/>
      <c r="F197" s="21"/>
    </row>
    <row r="198" spans="5:6">
      <c r="E198" s="21"/>
      <c r="F198" s="21"/>
    </row>
    <row r="199" spans="5:6">
      <c r="E199" s="21"/>
      <c r="F199" s="21"/>
    </row>
    <row r="200" spans="5:6">
      <c r="E200" s="21"/>
      <c r="F200" s="21"/>
    </row>
    <row r="201" spans="5:6">
      <c r="E201" s="21"/>
      <c r="F201" s="21"/>
    </row>
    <row r="202" spans="5:6">
      <c r="E202" s="21"/>
      <c r="F202" s="21"/>
    </row>
    <row r="203" spans="5:6">
      <c r="E203" s="21"/>
      <c r="F203" s="21"/>
    </row>
    <row r="204" spans="5:6">
      <c r="E204" s="21"/>
      <c r="F204" s="21"/>
    </row>
    <row r="205" spans="5:6">
      <c r="E205" s="21"/>
      <c r="F205" s="21"/>
    </row>
    <row r="206" spans="5:6">
      <c r="E206" s="21"/>
      <c r="F206" s="21"/>
    </row>
    <row r="207" spans="5:6">
      <c r="E207" s="21"/>
      <c r="F207" s="21"/>
    </row>
    <row r="208" spans="5:6">
      <c r="E208" s="21"/>
      <c r="F208" s="21"/>
    </row>
    <row r="209" spans="5:6">
      <c r="E209" s="21"/>
      <c r="F209" s="21"/>
    </row>
    <row r="210" spans="5:6">
      <c r="E210" s="21"/>
      <c r="F210" s="21"/>
    </row>
    <row r="211" spans="5:6">
      <c r="E211" s="21"/>
      <c r="F211" s="21"/>
    </row>
    <row r="212" spans="5:6">
      <c r="E212" s="21"/>
      <c r="F212" s="21"/>
    </row>
    <row r="213" spans="5:6">
      <c r="E213" s="21"/>
      <c r="F213" s="21"/>
    </row>
    <row r="214" spans="5:6">
      <c r="E214" s="21"/>
      <c r="F214" s="21"/>
    </row>
    <row r="215" spans="5:6">
      <c r="E215" s="21"/>
      <c r="F215" s="21"/>
    </row>
    <row r="216" spans="5:6">
      <c r="E216" s="21"/>
      <c r="F216" s="21"/>
    </row>
    <row r="217" spans="5:6">
      <c r="E217" s="21"/>
      <c r="F217" s="21"/>
    </row>
    <row r="218" spans="5:6">
      <c r="E218" s="21"/>
      <c r="F218" s="21"/>
    </row>
    <row r="219" spans="5:6">
      <c r="E219" s="21"/>
      <c r="F219" s="21"/>
    </row>
    <row r="220" spans="5:6">
      <c r="E220" s="21"/>
      <c r="F220" s="21"/>
    </row>
    <row r="221" spans="5:6">
      <c r="E221" s="21"/>
      <c r="F221" s="21"/>
    </row>
    <row r="222" spans="5:6">
      <c r="E222" s="21"/>
      <c r="F222" s="21"/>
    </row>
    <row r="223" spans="5:6">
      <c r="E223" s="21"/>
      <c r="F223" s="21"/>
    </row>
    <row r="224" spans="5:6">
      <c r="E224" s="21"/>
      <c r="F224" s="21"/>
    </row>
    <row r="225" spans="5:6">
      <c r="E225" s="21"/>
      <c r="F225" s="21"/>
    </row>
    <row r="226" spans="5:6">
      <c r="E226" s="21"/>
      <c r="F226" s="21"/>
    </row>
    <row r="227" spans="5:6">
      <c r="E227" s="21"/>
      <c r="F227" s="21"/>
    </row>
    <row r="228" spans="5:6">
      <c r="E228" s="21"/>
      <c r="F228" s="21"/>
    </row>
    <row r="229" spans="5:6">
      <c r="E229" s="21"/>
      <c r="F229" s="21"/>
    </row>
    <row r="230" spans="5:6">
      <c r="E230" s="21"/>
      <c r="F230" s="21"/>
    </row>
    <row r="231" spans="5:6">
      <c r="E231" s="21"/>
      <c r="F231" s="21"/>
    </row>
    <row r="232" spans="5:6">
      <c r="E232" s="21"/>
      <c r="F232" s="21"/>
    </row>
    <row r="233" spans="5:6">
      <c r="E233" s="21"/>
      <c r="F233" s="21"/>
    </row>
    <row r="234" spans="5:6">
      <c r="E234" s="21"/>
      <c r="F234" s="21"/>
    </row>
    <row r="235" spans="5:6">
      <c r="E235" s="21"/>
      <c r="F235" s="21"/>
    </row>
    <row r="236" spans="5:6">
      <c r="E236" s="21"/>
      <c r="F236" s="21"/>
    </row>
    <row r="237" spans="5:6">
      <c r="E237" s="21"/>
      <c r="F237" s="21"/>
    </row>
    <row r="238" spans="5:6">
      <c r="E238" s="21"/>
      <c r="F238" s="21"/>
    </row>
    <row r="239" spans="5:6">
      <c r="E239" s="21"/>
      <c r="F239" s="21"/>
    </row>
    <row r="240" spans="5:6">
      <c r="E240" s="21"/>
      <c r="F240" s="21"/>
    </row>
    <row r="241" spans="5:6">
      <c r="E241" s="21"/>
      <c r="F241" s="21"/>
    </row>
    <row r="242" spans="5:6">
      <c r="E242" s="21"/>
      <c r="F242" s="21"/>
    </row>
    <row r="243" spans="5:6">
      <c r="E243" s="21"/>
      <c r="F243" s="21"/>
    </row>
    <row r="244" spans="5:6">
      <c r="E244" s="21"/>
      <c r="F244" s="21"/>
    </row>
    <row r="245" spans="5:6">
      <c r="E245" s="21"/>
      <c r="F245" s="21"/>
    </row>
    <row r="246" spans="5:6">
      <c r="E246" s="21"/>
      <c r="F246" s="21"/>
    </row>
    <row r="247" spans="5:6">
      <c r="E247" s="21"/>
      <c r="F247" s="21"/>
    </row>
    <row r="248" spans="5:6">
      <c r="E248" s="21"/>
      <c r="F248" s="21"/>
    </row>
    <row r="249" spans="5:6">
      <c r="E249" s="21"/>
      <c r="F249" s="21"/>
    </row>
    <row r="250" spans="5:6">
      <c r="E250" s="21"/>
      <c r="F250" s="21"/>
    </row>
    <row r="251" spans="5:6">
      <c r="E251" s="21"/>
      <c r="F251" s="21"/>
    </row>
    <row r="252" spans="5:6">
      <c r="E252" s="21"/>
      <c r="F252" s="21"/>
    </row>
    <row r="253" spans="5:6">
      <c r="E253" s="21"/>
      <c r="F253" s="21"/>
    </row>
    <row r="254" spans="5:6">
      <c r="E254" s="21"/>
      <c r="F254" s="21"/>
    </row>
    <row r="255" spans="5:6">
      <c r="E255" s="21"/>
      <c r="F255" s="21"/>
    </row>
    <row r="256" spans="5:6">
      <c r="E256" s="21"/>
      <c r="F256" s="21"/>
    </row>
    <row r="257" spans="5:6">
      <c r="E257" s="21"/>
      <c r="F257" s="21"/>
    </row>
    <row r="258" spans="5:6">
      <c r="E258" s="21"/>
      <c r="F258" s="21"/>
    </row>
    <row r="259" spans="5:6">
      <c r="E259" s="21"/>
      <c r="F259" s="21"/>
    </row>
    <row r="260" spans="5:6">
      <c r="E260" s="21"/>
      <c r="F260" s="21"/>
    </row>
    <row r="261" spans="5:6">
      <c r="E261" s="21"/>
      <c r="F261" s="21"/>
    </row>
    <row r="262" spans="5:6">
      <c r="E262" s="21"/>
      <c r="F262" s="21"/>
    </row>
    <row r="263" spans="5:6">
      <c r="E263" s="21"/>
      <c r="F263" s="21"/>
    </row>
    <row r="264" spans="5:6">
      <c r="E264" s="21"/>
      <c r="F264" s="21"/>
    </row>
    <row r="265" spans="5:6">
      <c r="E265" s="21"/>
      <c r="F265" s="21"/>
    </row>
    <row r="266" spans="5:6">
      <c r="E266" s="21"/>
      <c r="F266" s="21"/>
    </row>
    <row r="267" spans="5:6">
      <c r="E267" s="21"/>
      <c r="F267" s="21"/>
    </row>
    <row r="268" spans="5:6">
      <c r="E268" s="21"/>
      <c r="F268" s="21"/>
    </row>
    <row r="269" spans="5:6">
      <c r="E269" s="21"/>
      <c r="F269" s="21"/>
    </row>
    <row r="270" spans="5:6">
      <c r="E270" s="21"/>
      <c r="F270" s="21"/>
    </row>
    <row r="271" spans="5:6">
      <c r="E271" s="21"/>
      <c r="F271" s="21"/>
    </row>
    <row r="272" spans="5:6">
      <c r="E272" s="21"/>
      <c r="F272" s="21"/>
    </row>
    <row r="273" spans="5:6">
      <c r="E273" s="21"/>
      <c r="F273" s="21"/>
    </row>
    <row r="274" spans="5:6">
      <c r="E274" s="21"/>
      <c r="F274" s="21"/>
    </row>
    <row r="275" spans="5:6">
      <c r="E275" s="21"/>
      <c r="F275" s="21"/>
    </row>
    <row r="276" spans="5:6">
      <c r="E276" s="21"/>
      <c r="F276" s="21"/>
    </row>
    <row r="277" spans="5:6">
      <c r="E277" s="21"/>
      <c r="F277" s="21"/>
    </row>
    <row r="278" spans="5:6">
      <c r="E278" s="21"/>
      <c r="F278" s="21"/>
    </row>
    <row r="279" spans="5:6">
      <c r="E279" s="21"/>
      <c r="F279" s="21"/>
    </row>
    <row r="280" spans="5:6">
      <c r="E280" s="21"/>
      <c r="F280" s="21"/>
    </row>
    <row r="281" spans="5:6">
      <c r="E281" s="21"/>
      <c r="F281" s="21"/>
    </row>
    <row r="282" spans="5:6">
      <c r="E282" s="21"/>
      <c r="F282" s="21"/>
    </row>
    <row r="283" spans="5:6">
      <c r="E283" s="21"/>
      <c r="F283" s="21"/>
    </row>
    <row r="284" spans="5:6">
      <c r="E284" s="21"/>
      <c r="F284" s="21"/>
    </row>
    <row r="285" spans="5:6">
      <c r="E285" s="21"/>
      <c r="F285" s="21"/>
    </row>
    <row r="286" spans="5:6">
      <c r="E286" s="21"/>
      <c r="F286" s="21"/>
    </row>
    <row r="287" spans="5:6">
      <c r="E287" s="21"/>
      <c r="F287" s="21"/>
    </row>
    <row r="288" spans="5:6">
      <c r="E288" s="21"/>
      <c r="F288" s="21"/>
    </row>
    <row r="289" spans="5:6">
      <c r="E289" s="21"/>
      <c r="F289" s="21"/>
    </row>
    <row r="290" spans="5:6">
      <c r="E290" s="21"/>
      <c r="F290" s="21"/>
    </row>
    <row r="291" spans="5:6">
      <c r="E291" s="21"/>
      <c r="F291" s="21"/>
    </row>
    <row r="292" spans="5:6">
      <c r="E292" s="21"/>
      <c r="F292" s="21"/>
    </row>
    <row r="293" spans="5:6">
      <c r="E293" s="21"/>
      <c r="F293" s="21"/>
    </row>
    <row r="294" spans="5:6">
      <c r="E294" s="21"/>
      <c r="F294" s="21"/>
    </row>
    <row r="295" spans="5:6">
      <c r="E295" s="21"/>
      <c r="F295" s="21"/>
    </row>
    <row r="296" spans="5:6">
      <c r="E296" s="21"/>
      <c r="F296" s="21"/>
    </row>
    <row r="297" spans="5:6">
      <c r="E297" s="21"/>
      <c r="F297" s="21"/>
    </row>
    <row r="298" spans="5:6">
      <c r="E298" s="21"/>
      <c r="F298" s="21"/>
    </row>
    <row r="299" spans="5:6">
      <c r="E299" s="21"/>
      <c r="F299" s="21"/>
    </row>
    <row r="300" spans="5:6">
      <c r="E300" s="21"/>
      <c r="F300" s="21"/>
    </row>
    <row r="301" spans="5:6">
      <c r="E301" s="21"/>
      <c r="F301" s="21"/>
    </row>
    <row r="302" spans="5:6">
      <c r="E302" s="21"/>
      <c r="F302" s="21"/>
    </row>
    <row r="303" spans="5:6">
      <c r="E303" s="21"/>
      <c r="F303" s="21"/>
    </row>
    <row r="304" spans="5:6">
      <c r="E304" s="21"/>
      <c r="F304" s="21"/>
    </row>
    <row r="305" spans="5:6">
      <c r="E305" s="21"/>
      <c r="F305" s="21"/>
    </row>
    <row r="306" spans="5:6">
      <c r="E306" s="21"/>
      <c r="F306" s="21"/>
    </row>
    <row r="307" spans="5:6">
      <c r="E307" s="21"/>
      <c r="F307" s="21"/>
    </row>
    <row r="308" spans="5:6">
      <c r="E308" s="21"/>
      <c r="F308" s="21"/>
    </row>
    <row r="309" spans="5:6">
      <c r="E309" s="21"/>
      <c r="F309" s="21"/>
    </row>
    <row r="310" spans="5:6">
      <c r="E310" s="21"/>
      <c r="F310" s="21"/>
    </row>
    <row r="311" spans="5:6">
      <c r="E311" s="21"/>
      <c r="F311" s="21"/>
    </row>
    <row r="312" spans="5:6">
      <c r="E312" s="21"/>
      <c r="F312" s="21"/>
    </row>
    <row r="313" spans="5:6">
      <c r="E313" s="21"/>
      <c r="F313" s="21"/>
    </row>
    <row r="314" spans="5:6">
      <c r="E314" s="21"/>
      <c r="F314" s="21"/>
    </row>
    <row r="315" spans="5:6">
      <c r="E315" s="21"/>
      <c r="F315" s="21"/>
    </row>
    <row r="316" spans="5:6">
      <c r="E316" s="21"/>
      <c r="F316" s="21"/>
    </row>
    <row r="317" spans="5:6">
      <c r="E317" s="21"/>
      <c r="F317" s="21"/>
    </row>
    <row r="318" spans="5:6">
      <c r="E318" s="21"/>
      <c r="F318" s="21"/>
    </row>
    <row r="319" spans="5:6">
      <c r="E319" s="21"/>
      <c r="F319" s="21"/>
    </row>
    <row r="320" spans="5:6">
      <c r="E320" s="21"/>
      <c r="F320" s="21"/>
    </row>
    <row r="321" spans="5:6">
      <c r="E321" s="21"/>
      <c r="F321" s="21"/>
    </row>
    <row r="322" spans="5:6">
      <c r="E322" s="21"/>
      <c r="F322" s="21"/>
    </row>
    <row r="323" spans="5:6">
      <c r="E323" s="21"/>
      <c r="F323" s="21"/>
    </row>
    <row r="324" spans="5:6">
      <c r="E324" s="21"/>
      <c r="F324" s="21"/>
    </row>
    <row r="325" spans="5:6">
      <c r="E325" s="21"/>
      <c r="F325" s="21"/>
    </row>
    <row r="326" spans="5:6">
      <c r="E326" s="21"/>
      <c r="F326" s="21"/>
    </row>
    <row r="327" spans="5:6">
      <c r="E327" s="21"/>
      <c r="F327" s="21"/>
    </row>
    <row r="328" spans="5:6">
      <c r="E328" s="21"/>
      <c r="F328" s="21"/>
    </row>
    <row r="329" spans="5:6">
      <c r="E329" s="21"/>
      <c r="F329" s="21"/>
    </row>
    <row r="330" spans="5:6">
      <c r="E330" s="21"/>
      <c r="F330" s="21"/>
    </row>
    <row r="331" spans="5:6">
      <c r="E331" s="21"/>
      <c r="F331" s="21"/>
    </row>
    <row r="332" spans="5:6">
      <c r="E332" s="21"/>
      <c r="F332" s="21"/>
    </row>
    <row r="333" spans="5:6">
      <c r="E333" s="21"/>
      <c r="F333" s="21"/>
    </row>
    <row r="334" spans="5:6">
      <c r="E334" s="21"/>
      <c r="F334" s="21"/>
    </row>
    <row r="335" spans="5:6">
      <c r="E335" s="21"/>
      <c r="F335" s="21"/>
    </row>
    <row r="336" spans="5:6">
      <c r="E336" s="21"/>
      <c r="F336" s="21"/>
    </row>
    <row r="337" spans="5:6">
      <c r="E337" s="21"/>
      <c r="F337" s="21"/>
    </row>
    <row r="338" spans="5:6">
      <c r="E338" s="21"/>
      <c r="F338" s="21"/>
    </row>
    <row r="339" spans="5:6">
      <c r="E339" s="21"/>
      <c r="F339" s="21"/>
    </row>
    <row r="340" spans="5:6">
      <c r="E340" s="21"/>
      <c r="F340" s="21"/>
    </row>
    <row r="341" spans="5:6">
      <c r="E341" s="21"/>
      <c r="F341" s="21"/>
    </row>
    <row r="342" spans="5:6">
      <c r="E342" s="21"/>
      <c r="F342" s="21"/>
    </row>
    <row r="343" spans="5:6">
      <c r="E343" s="21"/>
      <c r="F343" s="21"/>
    </row>
    <row r="344" spans="5:6">
      <c r="E344" s="21"/>
      <c r="F344" s="21"/>
    </row>
    <row r="345" spans="5:6">
      <c r="E345" s="21"/>
      <c r="F345" s="21"/>
    </row>
    <row r="346" spans="5:6">
      <c r="E346" s="21"/>
      <c r="F346" s="21"/>
    </row>
    <row r="347" spans="5:6">
      <c r="E347" s="21"/>
      <c r="F347" s="21"/>
    </row>
    <row r="348" spans="5:6">
      <c r="E348" s="21"/>
      <c r="F348" s="21"/>
    </row>
    <row r="349" spans="5:6">
      <c r="E349" s="21"/>
      <c r="F349" s="21"/>
    </row>
    <row r="350" spans="5:6">
      <c r="E350" s="21"/>
      <c r="F350" s="21"/>
    </row>
    <row r="351" spans="5:6">
      <c r="E351" s="21"/>
      <c r="F351" s="21"/>
    </row>
    <row r="352" spans="5:6">
      <c r="E352" s="21"/>
      <c r="F352" s="21"/>
    </row>
    <row r="353" spans="5:6">
      <c r="E353" s="21"/>
      <c r="F353" s="21"/>
    </row>
    <row r="354" spans="5:6">
      <c r="E354" s="21"/>
      <c r="F354" s="21"/>
    </row>
    <row r="355" spans="5:6">
      <c r="E355" s="21"/>
      <c r="F355" s="21"/>
    </row>
    <row r="356" spans="5:6">
      <c r="E356" s="21"/>
      <c r="F356" s="21"/>
    </row>
    <row r="357" spans="5:6">
      <c r="E357" s="21"/>
      <c r="F357" s="21"/>
    </row>
    <row r="358" spans="5:6">
      <c r="E358" s="21"/>
      <c r="F358" s="21"/>
    </row>
    <row r="359" spans="5:6">
      <c r="E359" s="21"/>
      <c r="F359" s="21"/>
    </row>
    <row r="360" spans="5:6">
      <c r="E360" s="21"/>
      <c r="F360" s="21"/>
    </row>
    <row r="361" spans="5:6">
      <c r="E361" s="21"/>
      <c r="F361" s="21"/>
    </row>
    <row r="362" spans="5:6">
      <c r="E362" s="21"/>
      <c r="F362" s="21"/>
    </row>
    <row r="363" spans="5:6">
      <c r="E363" s="21"/>
      <c r="F363" s="21"/>
    </row>
    <row r="364" spans="5:6">
      <c r="E364" s="21"/>
      <c r="F364" s="21"/>
    </row>
    <row r="365" spans="5:6">
      <c r="E365" s="21"/>
      <c r="F365" s="21"/>
    </row>
    <row r="366" spans="5:6">
      <c r="E366" s="21"/>
      <c r="F366" s="21"/>
    </row>
    <row r="367" spans="5:6">
      <c r="E367" s="21"/>
      <c r="F367" s="21"/>
    </row>
    <row r="368" spans="5:6">
      <c r="E368" s="21"/>
      <c r="F368" s="21"/>
    </row>
    <row r="369" spans="5:6">
      <c r="E369" s="21"/>
      <c r="F369" s="21"/>
    </row>
    <row r="370" spans="5:6">
      <c r="E370" s="21"/>
      <c r="F370" s="21"/>
    </row>
    <row r="371" spans="5:6">
      <c r="E371" s="21"/>
      <c r="F371" s="21"/>
    </row>
    <row r="372" spans="5:6">
      <c r="E372" s="21"/>
      <c r="F372" s="21"/>
    </row>
    <row r="373" spans="5:6">
      <c r="E373" s="21"/>
      <c r="F373" s="21"/>
    </row>
    <row r="374" spans="5:6">
      <c r="E374" s="21"/>
      <c r="F374" s="21"/>
    </row>
    <row r="375" spans="5:6">
      <c r="E375" s="21"/>
      <c r="F375" s="21"/>
    </row>
    <row r="376" spans="5:6">
      <c r="E376" s="21"/>
      <c r="F376" s="21"/>
    </row>
    <row r="377" spans="5:6">
      <c r="E377" s="21"/>
      <c r="F377" s="21"/>
    </row>
    <row r="378" spans="5:6">
      <c r="E378" s="21"/>
      <c r="F378" s="21"/>
    </row>
    <row r="379" spans="5:6">
      <c r="E379" s="21"/>
      <c r="F379" s="21"/>
    </row>
    <row r="380" spans="5:6">
      <c r="E380" s="21"/>
      <c r="F380" s="21"/>
    </row>
    <row r="381" spans="5:6">
      <c r="E381" s="21"/>
      <c r="F381" s="21"/>
    </row>
    <row r="382" spans="5:6">
      <c r="E382" s="21"/>
      <c r="F382" s="21"/>
    </row>
    <row r="383" spans="5:6">
      <c r="E383" s="21"/>
      <c r="F383" s="21"/>
    </row>
    <row r="384" spans="5:6">
      <c r="E384" s="21"/>
      <c r="F384" s="21"/>
    </row>
    <row r="385" spans="5:6">
      <c r="E385" s="21"/>
      <c r="F385" s="21"/>
    </row>
    <row r="386" spans="5:6">
      <c r="E386" s="21"/>
      <c r="F386" s="21"/>
    </row>
    <row r="387" spans="5:6">
      <c r="E387" s="21"/>
      <c r="F387" s="21"/>
    </row>
    <row r="388" spans="5:6">
      <c r="E388" s="21"/>
      <c r="F388" s="21"/>
    </row>
    <row r="389" spans="5:6">
      <c r="E389" s="21"/>
      <c r="F389" s="21"/>
    </row>
    <row r="390" spans="5:6">
      <c r="E390" s="21"/>
      <c r="F390" s="21"/>
    </row>
    <row r="391" spans="5:6">
      <c r="E391" s="21"/>
      <c r="F391" s="21"/>
    </row>
    <row r="392" spans="5:6">
      <c r="E392" s="21"/>
      <c r="F392" s="21"/>
    </row>
    <row r="393" spans="5:6">
      <c r="E393" s="21"/>
      <c r="F393" s="21"/>
    </row>
    <row r="394" spans="5:6">
      <c r="E394" s="21"/>
      <c r="F394" s="21"/>
    </row>
    <row r="395" spans="5:6">
      <c r="E395" s="21"/>
      <c r="F395" s="21"/>
    </row>
    <row r="396" spans="5:6">
      <c r="E396" s="21"/>
      <c r="F396" s="21"/>
    </row>
    <row r="397" spans="5:6">
      <c r="E397" s="21"/>
      <c r="F397" s="21"/>
    </row>
    <row r="398" spans="5:6">
      <c r="E398" s="21"/>
      <c r="F398" s="21"/>
    </row>
    <row r="399" spans="5:6">
      <c r="E399" s="21"/>
      <c r="F399" s="21"/>
    </row>
    <row r="400" spans="5:6">
      <c r="E400" s="21"/>
      <c r="F400" s="2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Sheet1!optionKeys</vt:lpstr>
      <vt:lpstr>Sheet3!optionKeys.jsp?symbolCode__9999_symbol_BANKNIFTY_symbol_BANKNIFTY_instrument_OPTIDX_date___segmentLink_17_segmentLink_17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shree</dc:creator>
  <cp:lastModifiedBy>USER</cp:lastModifiedBy>
  <dcterms:created xsi:type="dcterms:W3CDTF">2020-10-24T05:49:44Z</dcterms:created>
  <dcterms:modified xsi:type="dcterms:W3CDTF">2021-02-20T17:37:57Z</dcterms:modified>
</cp:coreProperties>
</file>